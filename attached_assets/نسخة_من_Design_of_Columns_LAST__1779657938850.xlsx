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est\Desktop\مشروع التخرج الفله\الاخير\ىلا\مجلد جديد\"/>
    </mc:Choice>
  </mc:AlternateContent>
  <xr:revisionPtr revIDLastSave="0" documentId="13_ncr:1000001_{0691823A-D360-1646-AB00-9A44E4DA6790}" xr6:coauthVersionLast="47" xr6:coauthVersionMax="47" xr10:uidLastSave="{00000000-0000-0000-0000-000000000000}"/>
  <bookViews>
    <workbookView xWindow="15" yWindow="1275" windowWidth="9585" windowHeight="7095" tabRatio="614" xr2:uid="{00000000-000D-0000-FFFF-FFFF00000000}"/>
  </bookViews>
  <sheets>
    <sheet name="GROUND&amp;1st" sheetId="1" r:id="rId1"/>
    <sheet name="ورقة2" sheetId="2" r:id="rId2"/>
    <sheet name="ورقة1" sheetId="3" r:id="rId3"/>
    <sheet name="ورقة3" sheetId="4" r:id="rId4"/>
    <sheet name="ورقة4" sheetId="5" r:id="rId5"/>
  </sheets>
  <definedNames>
    <definedName name="fc">'GROUND&amp;1st'!$AM$2</definedName>
    <definedName name="fy">'GROUND&amp;1st'!$AO$2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4" l="1"/>
  <c r="D13" i="5"/>
  <c r="D6" i="5"/>
  <c r="F57" i="2"/>
  <c r="P58" i="2"/>
  <c r="G57" i="2"/>
  <c r="Q58" i="2"/>
  <c r="AN56" i="1"/>
  <c r="BD56" i="1"/>
  <c r="BH56" i="1"/>
  <c r="AZ2" i="1"/>
  <c r="BF56" i="1"/>
  <c r="BI56" i="1"/>
  <c r="H57" i="2"/>
  <c r="R58" i="2"/>
  <c r="P56" i="1"/>
  <c r="AP56" i="1"/>
  <c r="AO56" i="1"/>
  <c r="R56" i="1"/>
  <c r="AQ56" i="1"/>
  <c r="AR56" i="1"/>
  <c r="AS56" i="1"/>
  <c r="AT56" i="1"/>
  <c r="AU56" i="1"/>
  <c r="AV56" i="1"/>
  <c r="AW56" i="1"/>
  <c r="AZ56" i="1"/>
  <c r="E57" i="2"/>
  <c r="O58" i="2"/>
  <c r="D57" i="2"/>
  <c r="M58" i="2"/>
  <c r="C57" i="2"/>
  <c r="L58" i="2"/>
  <c r="B57" i="2"/>
  <c r="B58" i="2"/>
  <c r="B59" i="2"/>
  <c r="B60" i="2"/>
  <c r="K58" i="2"/>
  <c r="A39" i="2"/>
  <c r="I40" i="2"/>
  <c r="F47" i="2"/>
  <c r="P44" i="2"/>
  <c r="G47" i="2"/>
  <c r="Q44" i="2"/>
  <c r="AN47" i="1"/>
  <c r="BD47" i="1"/>
  <c r="BH47" i="1"/>
  <c r="BF47" i="1"/>
  <c r="BI47" i="1"/>
  <c r="H47" i="2"/>
  <c r="R44" i="2"/>
  <c r="P47" i="1"/>
  <c r="AP47" i="1"/>
  <c r="AO47" i="1"/>
  <c r="R47" i="1"/>
  <c r="AQ47" i="1"/>
  <c r="AR47" i="1"/>
  <c r="AS47" i="1"/>
  <c r="AT47" i="1"/>
  <c r="AU47" i="1"/>
  <c r="AV47" i="1"/>
  <c r="AW47" i="1"/>
  <c r="AZ47" i="1"/>
  <c r="E47" i="2"/>
  <c r="O44" i="2"/>
  <c r="D47" i="2"/>
  <c r="M44" i="2"/>
  <c r="C47" i="2"/>
  <c r="L44" i="2"/>
  <c r="B47" i="2"/>
  <c r="B49" i="2"/>
  <c r="B50" i="2"/>
  <c r="B51" i="2"/>
  <c r="B52" i="2"/>
  <c r="B53" i="2"/>
  <c r="B54" i="2"/>
  <c r="K44" i="2"/>
  <c r="F43" i="2"/>
  <c r="P41" i="2"/>
  <c r="G43" i="2"/>
  <c r="Q41" i="2"/>
  <c r="AN43" i="1"/>
  <c r="BD43" i="1"/>
  <c r="BH43" i="1"/>
  <c r="BF43" i="1"/>
  <c r="BI43" i="1"/>
  <c r="H43" i="2"/>
  <c r="R41" i="2"/>
  <c r="P43" i="1"/>
  <c r="AP43" i="1"/>
  <c r="AO43" i="1"/>
  <c r="R43" i="1"/>
  <c r="AQ43" i="1"/>
  <c r="AR43" i="1"/>
  <c r="AS43" i="1"/>
  <c r="AT43" i="1"/>
  <c r="AU43" i="1"/>
  <c r="AV43" i="1"/>
  <c r="AW43" i="1"/>
  <c r="AZ43" i="1"/>
  <c r="E43" i="2"/>
  <c r="O41" i="2"/>
  <c r="D43" i="2"/>
  <c r="M41" i="2"/>
  <c r="C43" i="2"/>
  <c r="L41" i="2"/>
  <c r="B43" i="2"/>
  <c r="B48" i="2"/>
  <c r="K41" i="2"/>
  <c r="F39" i="2"/>
  <c r="P40" i="2"/>
  <c r="G39" i="2"/>
  <c r="Q40" i="2"/>
  <c r="AN39" i="1"/>
  <c r="BD39" i="1"/>
  <c r="BH39" i="1"/>
  <c r="BF39" i="1"/>
  <c r="BI39" i="1"/>
  <c r="H39" i="2"/>
  <c r="R40" i="2"/>
  <c r="P39" i="1"/>
  <c r="AP39" i="1"/>
  <c r="AO39" i="1"/>
  <c r="R39" i="1"/>
  <c r="AQ39" i="1"/>
  <c r="AR39" i="1"/>
  <c r="AS39" i="1"/>
  <c r="AT39" i="1"/>
  <c r="AU39" i="1"/>
  <c r="AV39" i="1"/>
  <c r="AW39" i="1"/>
  <c r="AZ39" i="1"/>
  <c r="E39" i="2"/>
  <c r="O40" i="2"/>
  <c r="D39" i="2"/>
  <c r="M40" i="2"/>
  <c r="C39" i="2"/>
  <c r="L40" i="2"/>
  <c r="B39" i="2"/>
  <c r="B40" i="2"/>
  <c r="B41" i="2"/>
  <c r="B42" i="2"/>
  <c r="B44" i="2"/>
  <c r="B45" i="2"/>
  <c r="B46" i="2"/>
  <c r="B55" i="2"/>
  <c r="K40" i="2"/>
  <c r="DT57" i="1"/>
  <c r="A57" i="2"/>
  <c r="A58" i="2"/>
  <c r="C58" i="2"/>
  <c r="D58" i="2"/>
  <c r="P57" i="1"/>
  <c r="AP57" i="1"/>
  <c r="AO57" i="1"/>
  <c r="R57" i="1"/>
  <c r="AQ57" i="1"/>
  <c r="AR57" i="1"/>
  <c r="AS57" i="1"/>
  <c r="AT57" i="1"/>
  <c r="AU57" i="1"/>
  <c r="AV57" i="1"/>
  <c r="AN57" i="1"/>
  <c r="AW57" i="1"/>
  <c r="AZ57" i="1"/>
  <c r="E58" i="2"/>
  <c r="F58" i="2"/>
  <c r="G58" i="2"/>
  <c r="BD57" i="1"/>
  <c r="BH57" i="1"/>
  <c r="BF57" i="1"/>
  <c r="BI57" i="1"/>
  <c r="H58" i="2"/>
  <c r="A59" i="2"/>
  <c r="C59" i="2"/>
  <c r="D59" i="2"/>
  <c r="P58" i="1"/>
  <c r="AP58" i="1"/>
  <c r="AO58" i="1"/>
  <c r="R58" i="1"/>
  <c r="AQ58" i="1"/>
  <c r="AR58" i="1"/>
  <c r="AS58" i="1"/>
  <c r="AT58" i="1"/>
  <c r="AU58" i="1"/>
  <c r="AV58" i="1"/>
  <c r="AN58" i="1"/>
  <c r="AW58" i="1"/>
  <c r="AZ58" i="1"/>
  <c r="E59" i="2"/>
  <c r="F59" i="2"/>
  <c r="G59" i="2"/>
  <c r="BD58" i="1"/>
  <c r="BH58" i="1"/>
  <c r="BF58" i="1"/>
  <c r="BI58" i="1"/>
  <c r="H59" i="2"/>
  <c r="A60" i="2"/>
  <c r="C60" i="2"/>
  <c r="D60" i="2"/>
  <c r="P59" i="1"/>
  <c r="AP59" i="1"/>
  <c r="AO59" i="1"/>
  <c r="R59" i="1"/>
  <c r="AQ59" i="1"/>
  <c r="AR59" i="1"/>
  <c r="AS59" i="1"/>
  <c r="AT59" i="1"/>
  <c r="AU59" i="1"/>
  <c r="AV59" i="1"/>
  <c r="AN59" i="1"/>
  <c r="AW59" i="1"/>
  <c r="AZ59" i="1"/>
  <c r="E60" i="2"/>
  <c r="F60" i="2"/>
  <c r="G60" i="2"/>
  <c r="BD59" i="1"/>
  <c r="BH59" i="1"/>
  <c r="BF59" i="1"/>
  <c r="BI59" i="1"/>
  <c r="H60" i="2"/>
  <c r="DT53" i="1"/>
  <c r="DT49" i="1"/>
  <c r="DT45" i="1"/>
  <c r="DT41" i="1"/>
  <c r="DT37" i="1"/>
  <c r="DT33" i="1"/>
  <c r="DT29" i="1"/>
  <c r="DT25" i="1"/>
  <c r="DT21" i="1"/>
  <c r="DT17" i="1"/>
  <c r="DT13" i="1"/>
  <c r="DT9" i="1"/>
  <c r="DT6" i="1"/>
  <c r="DV6" i="1"/>
  <c r="DW6" i="1"/>
  <c r="DT7" i="1"/>
  <c r="DV7" i="1"/>
  <c r="DW7" i="1"/>
  <c r="DT8" i="1"/>
  <c r="DV8" i="1"/>
  <c r="DW8" i="1"/>
  <c r="DV9" i="1"/>
  <c r="DW9" i="1"/>
  <c r="DT10" i="1"/>
  <c r="DV10" i="1"/>
  <c r="DW10" i="1"/>
  <c r="DT11" i="1"/>
  <c r="DV11" i="1"/>
  <c r="DW11" i="1"/>
  <c r="DT12" i="1"/>
  <c r="DV12" i="1"/>
  <c r="DW12" i="1"/>
  <c r="DV13" i="1"/>
  <c r="DW13" i="1"/>
  <c r="DT14" i="1"/>
  <c r="DV14" i="1"/>
  <c r="DW14" i="1"/>
  <c r="DT15" i="1"/>
  <c r="DV15" i="1"/>
  <c r="DW15" i="1"/>
  <c r="DT16" i="1"/>
  <c r="DV16" i="1"/>
  <c r="DW16" i="1"/>
  <c r="DV17" i="1"/>
  <c r="DW17" i="1"/>
  <c r="DT18" i="1"/>
  <c r="DV18" i="1"/>
  <c r="DW18" i="1"/>
  <c r="DT19" i="1"/>
  <c r="DV19" i="1"/>
  <c r="DW19" i="1"/>
  <c r="DT20" i="1"/>
  <c r="DV20" i="1"/>
  <c r="DW20" i="1"/>
  <c r="DV21" i="1"/>
  <c r="DW21" i="1"/>
  <c r="DT22" i="1"/>
  <c r="DV22" i="1"/>
  <c r="DW22" i="1"/>
  <c r="DT23" i="1"/>
  <c r="DV23" i="1"/>
  <c r="DW23" i="1"/>
  <c r="DT24" i="1"/>
  <c r="DV24" i="1"/>
  <c r="DW24" i="1"/>
  <c r="DV25" i="1"/>
  <c r="DW25" i="1"/>
  <c r="DT26" i="1"/>
  <c r="DV26" i="1"/>
  <c r="DW26" i="1"/>
  <c r="DT27" i="1"/>
  <c r="DV27" i="1"/>
  <c r="DW27" i="1"/>
  <c r="DT28" i="1"/>
  <c r="DV28" i="1"/>
  <c r="DW28" i="1"/>
  <c r="DV29" i="1"/>
  <c r="DW29" i="1"/>
  <c r="DT30" i="1"/>
  <c r="DV30" i="1"/>
  <c r="DW30" i="1"/>
  <c r="DT31" i="1"/>
  <c r="DV31" i="1"/>
  <c r="DW31" i="1"/>
  <c r="DT32" i="1"/>
  <c r="DV32" i="1"/>
  <c r="DW32" i="1"/>
  <c r="DV33" i="1"/>
  <c r="DW33" i="1"/>
  <c r="DT34" i="1"/>
  <c r="DV34" i="1"/>
  <c r="DW34" i="1"/>
  <c r="DT35" i="1"/>
  <c r="DV35" i="1"/>
  <c r="DW35" i="1"/>
  <c r="DT36" i="1"/>
  <c r="DV36" i="1"/>
  <c r="DW36" i="1"/>
  <c r="DV37" i="1"/>
  <c r="DW37" i="1"/>
  <c r="DT38" i="1"/>
  <c r="DV38" i="1"/>
  <c r="DW38" i="1"/>
  <c r="DT39" i="1"/>
  <c r="DV39" i="1"/>
  <c r="DW39" i="1"/>
  <c r="DT40" i="1"/>
  <c r="DV40" i="1"/>
  <c r="DW40" i="1"/>
  <c r="DV41" i="1"/>
  <c r="DW41" i="1"/>
  <c r="DT42" i="1"/>
  <c r="DV42" i="1"/>
  <c r="DW42" i="1"/>
  <c r="DT43" i="1"/>
  <c r="DV43" i="1"/>
  <c r="DW43" i="1"/>
  <c r="DT44" i="1"/>
  <c r="DV44" i="1"/>
  <c r="DW44" i="1"/>
  <c r="DV45" i="1"/>
  <c r="DW45" i="1"/>
  <c r="DT46" i="1"/>
  <c r="DV46" i="1"/>
  <c r="DW46" i="1"/>
  <c r="DT47" i="1"/>
  <c r="DV47" i="1"/>
  <c r="DW47" i="1"/>
  <c r="DT48" i="1"/>
  <c r="DV48" i="1"/>
  <c r="DW48" i="1"/>
  <c r="DV49" i="1"/>
  <c r="DW49" i="1"/>
  <c r="DT50" i="1"/>
  <c r="DV50" i="1"/>
  <c r="DW50" i="1"/>
  <c r="DT51" i="1"/>
  <c r="DV51" i="1"/>
  <c r="DW51" i="1"/>
  <c r="DT52" i="1"/>
  <c r="DV52" i="1"/>
  <c r="DW52" i="1"/>
  <c r="DV53" i="1"/>
  <c r="DW53" i="1"/>
  <c r="DT54" i="1"/>
  <c r="DV54" i="1"/>
  <c r="DW54" i="1"/>
  <c r="DT55" i="1"/>
  <c r="DV55" i="1"/>
  <c r="DW55" i="1"/>
  <c r="DV56" i="1"/>
  <c r="DW56" i="1"/>
  <c r="DV57" i="1"/>
  <c r="DW57" i="1"/>
  <c r="DT58" i="1"/>
  <c r="DV58" i="1"/>
  <c r="DW58" i="1"/>
  <c r="DT59" i="1"/>
  <c r="DV59" i="1"/>
  <c r="DW59" i="1"/>
  <c r="DV5" i="1"/>
  <c r="DT56" i="1"/>
  <c r="BL59" i="1"/>
  <c r="BN59" i="1"/>
  <c r="BK59" i="1"/>
  <c r="CH59" i="1"/>
  <c r="BG59" i="1"/>
  <c r="AJ59" i="1"/>
  <c r="BK58" i="1"/>
  <c r="DI58" i="1"/>
  <c r="BL58" i="1"/>
  <c r="BN58" i="1"/>
  <c r="AJ58" i="1"/>
  <c r="BK57" i="1"/>
  <c r="AJ57" i="1"/>
  <c r="BL56" i="1"/>
  <c r="BN56" i="1"/>
  <c r="BK56" i="1"/>
  <c r="CH56" i="1"/>
  <c r="AJ56" i="1"/>
  <c r="L56" i="1"/>
  <c r="L57" i="1"/>
  <c r="L58" i="1"/>
  <c r="L59" i="1"/>
  <c r="BE56" i="1"/>
  <c r="CH58" i="1"/>
  <c r="BE59" i="1"/>
  <c r="DI56" i="1"/>
  <c r="BG56" i="1"/>
  <c r="BJ56" i="1"/>
  <c r="CH57" i="1"/>
  <c r="DI57" i="1"/>
  <c r="BG57" i="1"/>
  <c r="BJ57" i="1"/>
  <c r="BG58" i="1"/>
  <c r="BJ58" i="1"/>
  <c r="DI59" i="1"/>
  <c r="BJ59" i="1"/>
  <c r="BE58" i="1"/>
  <c r="CZ56" i="1"/>
  <c r="CQ56" i="1"/>
  <c r="BM56" i="1"/>
  <c r="BO56" i="1"/>
  <c r="BM58" i="1"/>
  <c r="BO58" i="1"/>
  <c r="CZ58" i="1"/>
  <c r="CQ58" i="1"/>
  <c r="CZ57" i="1"/>
  <c r="CQ57" i="1"/>
  <c r="BM57" i="1"/>
  <c r="BO57" i="1"/>
  <c r="BL57" i="1"/>
  <c r="BN57" i="1"/>
  <c r="BM59" i="1"/>
  <c r="BO59" i="1"/>
  <c r="CQ59" i="1"/>
  <c r="CZ59" i="1"/>
  <c r="BE57" i="1"/>
  <c r="G55" i="2"/>
  <c r="F55" i="2"/>
  <c r="D55" i="2"/>
  <c r="C55" i="2"/>
  <c r="A55" i="2"/>
  <c r="G54" i="2"/>
  <c r="F54" i="2"/>
  <c r="D54" i="2"/>
  <c r="C54" i="2"/>
  <c r="A54" i="2"/>
  <c r="G53" i="2"/>
  <c r="F53" i="2"/>
  <c r="D53" i="2"/>
  <c r="C53" i="2"/>
  <c r="A53" i="2"/>
  <c r="G52" i="2"/>
  <c r="F52" i="2"/>
  <c r="D52" i="2"/>
  <c r="C52" i="2"/>
  <c r="A52" i="2"/>
  <c r="G51" i="2"/>
  <c r="F51" i="2"/>
  <c r="D51" i="2"/>
  <c r="C51" i="2"/>
  <c r="A51" i="2"/>
  <c r="G50" i="2"/>
  <c r="F50" i="2"/>
  <c r="D50" i="2"/>
  <c r="C50" i="2"/>
  <c r="A50" i="2"/>
  <c r="G49" i="2"/>
  <c r="F49" i="2"/>
  <c r="D49" i="2"/>
  <c r="C49" i="2"/>
  <c r="A49" i="2"/>
  <c r="G48" i="2"/>
  <c r="F48" i="2"/>
  <c r="D48" i="2"/>
  <c r="C48" i="2"/>
  <c r="A48" i="2"/>
  <c r="A47" i="2"/>
  <c r="G46" i="2"/>
  <c r="F46" i="2"/>
  <c r="D46" i="2"/>
  <c r="C46" i="2"/>
  <c r="A46" i="2"/>
  <c r="G45" i="2"/>
  <c r="F45" i="2"/>
  <c r="D45" i="2"/>
  <c r="C45" i="2"/>
  <c r="A45" i="2"/>
  <c r="G44" i="2"/>
  <c r="F44" i="2"/>
  <c r="D44" i="2"/>
  <c r="C44" i="2"/>
  <c r="A44" i="2"/>
  <c r="A43" i="2"/>
  <c r="G42" i="2"/>
  <c r="F42" i="2"/>
  <c r="D42" i="2"/>
  <c r="C42" i="2"/>
  <c r="A42" i="2"/>
  <c r="G41" i="2"/>
  <c r="F41" i="2"/>
  <c r="D41" i="2"/>
  <c r="C41" i="2"/>
  <c r="A41" i="2"/>
  <c r="G40" i="2"/>
  <c r="F40" i="2"/>
  <c r="D40" i="2"/>
  <c r="C40" i="2"/>
  <c r="A40" i="2"/>
  <c r="G37" i="2"/>
  <c r="F37" i="2"/>
  <c r="D37" i="2"/>
  <c r="C37" i="2"/>
  <c r="B37" i="2"/>
  <c r="A37" i="2"/>
  <c r="G36" i="2"/>
  <c r="F36" i="2"/>
  <c r="D36" i="2"/>
  <c r="C36" i="2"/>
  <c r="B36" i="2"/>
  <c r="A36" i="2"/>
  <c r="G35" i="2"/>
  <c r="F35" i="2"/>
  <c r="D35" i="2"/>
  <c r="C35" i="2"/>
  <c r="B35" i="2"/>
  <c r="A35" i="2"/>
  <c r="G34" i="2"/>
  <c r="F34" i="2"/>
  <c r="D34" i="2"/>
  <c r="C34" i="2"/>
  <c r="B34" i="2"/>
  <c r="A34" i="2"/>
  <c r="G33" i="2"/>
  <c r="F33" i="2"/>
  <c r="D33" i="2"/>
  <c r="C33" i="2"/>
  <c r="B33" i="2"/>
  <c r="A33" i="2"/>
  <c r="G32" i="2"/>
  <c r="F32" i="2"/>
  <c r="D32" i="2"/>
  <c r="C32" i="2"/>
  <c r="B32" i="2"/>
  <c r="A32" i="2"/>
  <c r="G31" i="2"/>
  <c r="F31" i="2"/>
  <c r="D31" i="2"/>
  <c r="C31" i="2"/>
  <c r="B31" i="2"/>
  <c r="A31" i="2"/>
  <c r="G30" i="2"/>
  <c r="F30" i="2"/>
  <c r="D30" i="2"/>
  <c r="C30" i="2"/>
  <c r="B30" i="2"/>
  <c r="A30" i="2"/>
  <c r="G29" i="2"/>
  <c r="Q26" i="2"/>
  <c r="F29" i="2"/>
  <c r="P26" i="2"/>
  <c r="D29" i="2"/>
  <c r="M26" i="2"/>
  <c r="C29" i="2"/>
  <c r="L26" i="2"/>
  <c r="B29" i="2"/>
  <c r="A29" i="2"/>
  <c r="G28" i="2"/>
  <c r="F28" i="2"/>
  <c r="D28" i="2"/>
  <c r="C28" i="2"/>
  <c r="B28" i="2"/>
  <c r="A28" i="2"/>
  <c r="G27" i="2"/>
  <c r="F27" i="2"/>
  <c r="D27" i="2"/>
  <c r="C27" i="2"/>
  <c r="B27" i="2"/>
  <c r="A27" i="2"/>
  <c r="G26" i="2"/>
  <c r="F26" i="2"/>
  <c r="D26" i="2"/>
  <c r="C26" i="2"/>
  <c r="B26" i="2"/>
  <c r="A26" i="2"/>
  <c r="G25" i="2"/>
  <c r="Q23" i="2"/>
  <c r="F25" i="2"/>
  <c r="P23" i="2"/>
  <c r="D25" i="2"/>
  <c r="M23" i="2"/>
  <c r="C25" i="2"/>
  <c r="L23" i="2"/>
  <c r="B25" i="2"/>
  <c r="A25" i="2"/>
  <c r="G24" i="2"/>
  <c r="F24" i="2"/>
  <c r="D24" i="2"/>
  <c r="C24" i="2"/>
  <c r="B24" i="2"/>
  <c r="A24" i="2"/>
  <c r="G23" i="2"/>
  <c r="F23" i="2"/>
  <c r="D23" i="2"/>
  <c r="C23" i="2"/>
  <c r="B23" i="2"/>
  <c r="A23" i="2"/>
  <c r="G22" i="2"/>
  <c r="Q22" i="2"/>
  <c r="F22" i="2"/>
  <c r="P22" i="2"/>
  <c r="D22" i="2"/>
  <c r="M22" i="2"/>
  <c r="C22" i="2"/>
  <c r="L22" i="2"/>
  <c r="B22" i="2"/>
  <c r="A22" i="2"/>
  <c r="G21" i="2"/>
  <c r="F21" i="2"/>
  <c r="D21" i="2"/>
  <c r="C21" i="2"/>
  <c r="B21" i="2"/>
  <c r="A21" i="2"/>
  <c r="I22" i="2"/>
  <c r="G19" i="2"/>
  <c r="F19" i="2"/>
  <c r="D19" i="2"/>
  <c r="C19" i="2"/>
  <c r="B19" i="2"/>
  <c r="A19" i="2"/>
  <c r="G18" i="2"/>
  <c r="F18" i="2"/>
  <c r="D18" i="2"/>
  <c r="C18" i="2"/>
  <c r="B18" i="2"/>
  <c r="A18" i="2"/>
  <c r="G17" i="2"/>
  <c r="F17" i="2"/>
  <c r="D17" i="2"/>
  <c r="C17" i="2"/>
  <c r="B17" i="2"/>
  <c r="A17" i="2"/>
  <c r="G16" i="2"/>
  <c r="F16" i="2"/>
  <c r="D16" i="2"/>
  <c r="C16" i="2"/>
  <c r="B16" i="2"/>
  <c r="A16" i="2"/>
  <c r="G15" i="2"/>
  <c r="F15" i="2"/>
  <c r="D15" i="2"/>
  <c r="C15" i="2"/>
  <c r="B15" i="2"/>
  <c r="A15" i="2"/>
  <c r="G14" i="2"/>
  <c r="F14" i="2"/>
  <c r="D14" i="2"/>
  <c r="C14" i="2"/>
  <c r="B14" i="2"/>
  <c r="A14" i="2"/>
  <c r="G13" i="2"/>
  <c r="F13" i="2"/>
  <c r="D13" i="2"/>
  <c r="C13" i="2"/>
  <c r="B13" i="2"/>
  <c r="A13" i="2"/>
  <c r="G12" i="2"/>
  <c r="F12" i="2"/>
  <c r="D12" i="2"/>
  <c r="C12" i="2"/>
  <c r="B12" i="2"/>
  <c r="A12" i="2"/>
  <c r="G11" i="2"/>
  <c r="F11" i="2"/>
  <c r="D11" i="2"/>
  <c r="C11" i="2"/>
  <c r="B11" i="2"/>
  <c r="A11" i="2"/>
  <c r="G10" i="2"/>
  <c r="F10" i="2"/>
  <c r="D10" i="2"/>
  <c r="C10" i="2"/>
  <c r="B10" i="2"/>
  <c r="A10" i="2"/>
  <c r="G9" i="2"/>
  <c r="F9" i="2"/>
  <c r="D9" i="2"/>
  <c r="C9" i="2"/>
  <c r="B9" i="2"/>
  <c r="A9" i="2"/>
  <c r="G8" i="2"/>
  <c r="F8" i="2"/>
  <c r="D8" i="2"/>
  <c r="C8" i="2"/>
  <c r="B8" i="2"/>
  <c r="A8" i="2"/>
  <c r="G7" i="2"/>
  <c r="Q9" i="2"/>
  <c r="F7" i="2"/>
  <c r="P9" i="2"/>
  <c r="D7" i="2"/>
  <c r="M6" i="2"/>
  <c r="C7" i="2"/>
  <c r="L9" i="2"/>
  <c r="B7" i="2"/>
  <c r="K9" i="2"/>
  <c r="A7" i="2"/>
  <c r="G6" i="2"/>
  <c r="Q6" i="2"/>
  <c r="F6" i="2"/>
  <c r="P6" i="2"/>
  <c r="D6" i="2"/>
  <c r="C6" i="2"/>
  <c r="L6" i="2"/>
  <c r="B6" i="2"/>
  <c r="A6" i="2"/>
  <c r="G5" i="2"/>
  <c r="F5" i="2"/>
  <c r="D5" i="2"/>
  <c r="C5" i="2"/>
  <c r="B5" i="2"/>
  <c r="A5" i="2"/>
  <c r="G4" i="2"/>
  <c r="F4" i="2"/>
  <c r="D4" i="2"/>
  <c r="C4" i="2"/>
  <c r="B4" i="2"/>
  <c r="A4" i="2"/>
  <c r="G3" i="2"/>
  <c r="Q3" i="2"/>
  <c r="F3" i="2"/>
  <c r="P3" i="2"/>
  <c r="D3" i="2"/>
  <c r="M3" i="2"/>
  <c r="C3" i="2"/>
  <c r="L3" i="2"/>
  <c r="B3" i="2"/>
  <c r="K3" i="2"/>
  <c r="A3" i="2"/>
  <c r="Y182" i="1"/>
  <c r="Y178" i="1"/>
  <c r="AB177" i="1"/>
  <c r="AA177" i="1"/>
  <c r="Z177" i="1"/>
  <c r="AC175" i="1"/>
  <c r="Y174" i="1"/>
  <c r="X174" i="1"/>
  <c r="Y170" i="1"/>
  <c r="X170" i="1"/>
  <c r="AB169" i="1"/>
  <c r="AA169" i="1"/>
  <c r="Z169" i="1"/>
  <c r="AC167" i="1"/>
  <c r="Y166" i="1"/>
  <c r="X166" i="1"/>
  <c r="Y162" i="1"/>
  <c r="X162" i="1"/>
  <c r="AB161" i="1"/>
  <c r="AA161" i="1"/>
  <c r="Z161" i="1"/>
  <c r="AC159" i="1"/>
  <c r="Y158" i="1"/>
  <c r="Y154" i="1"/>
  <c r="AB153" i="1"/>
  <c r="AA153" i="1"/>
  <c r="Z153" i="1"/>
  <c r="AC151" i="1"/>
  <c r="X150" i="1"/>
  <c r="X146" i="1"/>
  <c r="AB145" i="1"/>
  <c r="AA145" i="1"/>
  <c r="Z145" i="1"/>
  <c r="AC143" i="1"/>
  <c r="Y142" i="1"/>
  <c r="Y138" i="1"/>
  <c r="AB137" i="1"/>
  <c r="AA137" i="1"/>
  <c r="Z137" i="1"/>
  <c r="AC135" i="1"/>
  <c r="Y134" i="1"/>
  <c r="X134" i="1"/>
  <c r="Y130" i="1"/>
  <c r="X130" i="1"/>
  <c r="AB129" i="1"/>
  <c r="AA129" i="1"/>
  <c r="Z129" i="1"/>
  <c r="AC127" i="1"/>
  <c r="Y126" i="1"/>
  <c r="X126" i="1"/>
  <c r="Y122" i="1"/>
  <c r="X122" i="1"/>
  <c r="AB121" i="1"/>
  <c r="AA121" i="1"/>
  <c r="Z121" i="1"/>
  <c r="AC119" i="1"/>
  <c r="X118" i="1"/>
  <c r="X114" i="1"/>
  <c r="AB113" i="1"/>
  <c r="AA113" i="1"/>
  <c r="Z113" i="1"/>
  <c r="AC111" i="1"/>
  <c r="X110" i="1"/>
  <c r="X106" i="1"/>
  <c r="AB105" i="1"/>
  <c r="AA105" i="1"/>
  <c r="Z105" i="1"/>
  <c r="AC103" i="1"/>
  <c r="Y102" i="1"/>
  <c r="X102" i="1"/>
  <c r="S101" i="1"/>
  <c r="R101" i="1"/>
  <c r="Q101" i="1"/>
  <c r="P101" i="1"/>
  <c r="N101" i="1"/>
  <c r="S100" i="1"/>
  <c r="R100" i="1"/>
  <c r="Q100" i="1"/>
  <c r="P100" i="1"/>
  <c r="N100" i="1"/>
  <c r="S99" i="1"/>
  <c r="R99" i="1"/>
  <c r="Q99" i="1"/>
  <c r="P99" i="1"/>
  <c r="N99" i="1"/>
  <c r="Y98" i="1"/>
  <c r="X98" i="1"/>
  <c r="S98" i="1"/>
  <c r="R98" i="1"/>
  <c r="Q98" i="1"/>
  <c r="P98" i="1"/>
  <c r="N98" i="1"/>
  <c r="AB97" i="1"/>
  <c r="AA97" i="1"/>
  <c r="Z97" i="1"/>
  <c r="S97" i="1"/>
  <c r="R97" i="1"/>
  <c r="Q97" i="1"/>
  <c r="P97" i="1"/>
  <c r="N97" i="1"/>
  <c r="S96" i="1"/>
  <c r="R96" i="1"/>
  <c r="Q96" i="1"/>
  <c r="P96" i="1"/>
  <c r="N96" i="1"/>
  <c r="AC95" i="1"/>
  <c r="S95" i="1"/>
  <c r="R95" i="1"/>
  <c r="Q95" i="1"/>
  <c r="P95" i="1"/>
  <c r="N95" i="1"/>
  <c r="Y94" i="1"/>
  <c r="S94" i="1"/>
  <c r="R94" i="1"/>
  <c r="Q94" i="1"/>
  <c r="P94" i="1"/>
  <c r="N94" i="1"/>
  <c r="S93" i="1"/>
  <c r="R93" i="1"/>
  <c r="Q93" i="1"/>
  <c r="P93" i="1"/>
  <c r="N93" i="1"/>
  <c r="S92" i="1"/>
  <c r="R92" i="1"/>
  <c r="Q92" i="1"/>
  <c r="P92" i="1"/>
  <c r="N92" i="1"/>
  <c r="S91" i="1"/>
  <c r="R91" i="1"/>
  <c r="Q91" i="1"/>
  <c r="P91" i="1"/>
  <c r="N91" i="1"/>
  <c r="Y90" i="1"/>
  <c r="S90" i="1"/>
  <c r="R90" i="1"/>
  <c r="Q90" i="1"/>
  <c r="P90" i="1"/>
  <c r="N90" i="1"/>
  <c r="AB89" i="1"/>
  <c r="AA89" i="1"/>
  <c r="Z89" i="1"/>
  <c r="S89" i="1"/>
  <c r="R89" i="1"/>
  <c r="Q89" i="1"/>
  <c r="P89" i="1"/>
  <c r="N89" i="1"/>
  <c r="S88" i="1"/>
  <c r="R88" i="1"/>
  <c r="Q88" i="1"/>
  <c r="P88" i="1"/>
  <c r="N88" i="1"/>
  <c r="AC87" i="1"/>
  <c r="S87" i="1"/>
  <c r="R87" i="1"/>
  <c r="Q87" i="1"/>
  <c r="P87" i="1"/>
  <c r="N87" i="1"/>
  <c r="X86" i="1"/>
  <c r="S86" i="1"/>
  <c r="R86" i="1"/>
  <c r="Q86" i="1"/>
  <c r="P86" i="1"/>
  <c r="N86" i="1"/>
  <c r="S85" i="1"/>
  <c r="R85" i="1"/>
  <c r="Q85" i="1"/>
  <c r="P85" i="1"/>
  <c r="N85" i="1"/>
  <c r="S84" i="1"/>
  <c r="R84" i="1"/>
  <c r="Q84" i="1"/>
  <c r="P84" i="1"/>
  <c r="N84" i="1"/>
  <c r="S83" i="1"/>
  <c r="R83" i="1"/>
  <c r="Q83" i="1"/>
  <c r="P83" i="1"/>
  <c r="N83" i="1"/>
  <c r="X82" i="1"/>
  <c r="S82" i="1"/>
  <c r="R82" i="1"/>
  <c r="Q82" i="1"/>
  <c r="P82" i="1"/>
  <c r="N82" i="1"/>
  <c r="AB81" i="1"/>
  <c r="AA81" i="1"/>
  <c r="Z81" i="1"/>
  <c r="S81" i="1"/>
  <c r="R81" i="1"/>
  <c r="Q81" i="1"/>
  <c r="P81" i="1"/>
  <c r="N81" i="1"/>
  <c r="S80" i="1"/>
  <c r="R80" i="1"/>
  <c r="Q80" i="1"/>
  <c r="P80" i="1"/>
  <c r="N80" i="1"/>
  <c r="AC79" i="1"/>
  <c r="S79" i="1"/>
  <c r="R79" i="1"/>
  <c r="Q79" i="1"/>
  <c r="P79" i="1"/>
  <c r="N79" i="1"/>
  <c r="Y78" i="1"/>
  <c r="X78" i="1"/>
  <c r="S78" i="1"/>
  <c r="R78" i="1"/>
  <c r="Q78" i="1"/>
  <c r="P78" i="1"/>
  <c r="N78" i="1"/>
  <c r="S77" i="1"/>
  <c r="R77" i="1"/>
  <c r="Q77" i="1"/>
  <c r="P77" i="1"/>
  <c r="N77" i="1"/>
  <c r="S76" i="1"/>
  <c r="R76" i="1"/>
  <c r="Q76" i="1"/>
  <c r="P76" i="1"/>
  <c r="N76" i="1"/>
  <c r="S75" i="1"/>
  <c r="R75" i="1"/>
  <c r="Q75" i="1"/>
  <c r="P75" i="1"/>
  <c r="N75" i="1"/>
  <c r="Y74" i="1"/>
  <c r="X74" i="1"/>
  <c r="S74" i="1"/>
  <c r="R74" i="1"/>
  <c r="Q74" i="1"/>
  <c r="P74" i="1"/>
  <c r="N74" i="1"/>
  <c r="AB73" i="1"/>
  <c r="AA73" i="1"/>
  <c r="Z73" i="1"/>
  <c r="S73" i="1"/>
  <c r="R73" i="1"/>
  <c r="Q73" i="1"/>
  <c r="P73" i="1"/>
  <c r="N73" i="1"/>
  <c r="S72" i="1"/>
  <c r="R72" i="1"/>
  <c r="Q72" i="1"/>
  <c r="P72" i="1"/>
  <c r="N72" i="1"/>
  <c r="AC71" i="1"/>
  <c r="S71" i="1"/>
  <c r="R71" i="1"/>
  <c r="Q71" i="1"/>
  <c r="P71" i="1"/>
  <c r="N71" i="1"/>
  <c r="X70" i="1"/>
  <c r="S70" i="1"/>
  <c r="R70" i="1"/>
  <c r="Q70" i="1"/>
  <c r="P70" i="1"/>
  <c r="N70" i="1"/>
  <c r="S69" i="1"/>
  <c r="R69" i="1"/>
  <c r="Q69" i="1"/>
  <c r="P69" i="1"/>
  <c r="N69" i="1"/>
  <c r="S68" i="1"/>
  <c r="R68" i="1"/>
  <c r="Q68" i="1"/>
  <c r="P68" i="1"/>
  <c r="N68" i="1"/>
  <c r="S67" i="1"/>
  <c r="R67" i="1"/>
  <c r="Q67" i="1"/>
  <c r="P67" i="1"/>
  <c r="N67" i="1"/>
  <c r="X66" i="1"/>
  <c r="S66" i="1"/>
  <c r="R66" i="1"/>
  <c r="Q66" i="1"/>
  <c r="P66" i="1"/>
  <c r="N66" i="1"/>
  <c r="AB65" i="1"/>
  <c r="AA65" i="1"/>
  <c r="Z65" i="1"/>
  <c r="S65" i="1"/>
  <c r="R65" i="1"/>
  <c r="Q65" i="1"/>
  <c r="P65" i="1"/>
  <c r="N65" i="1"/>
  <c r="S64" i="1"/>
  <c r="R64" i="1"/>
  <c r="Q64" i="1"/>
  <c r="P64" i="1"/>
  <c r="N64" i="1"/>
  <c r="AC63" i="1"/>
  <c r="S63" i="1"/>
  <c r="R63" i="1"/>
  <c r="Q63" i="1"/>
  <c r="P63" i="1"/>
  <c r="N63" i="1"/>
  <c r="Y62" i="1"/>
  <c r="X62" i="1"/>
  <c r="S62" i="1"/>
  <c r="R62" i="1"/>
  <c r="Q62" i="1"/>
  <c r="P62" i="1"/>
  <c r="N62" i="1"/>
  <c r="S61" i="1"/>
  <c r="R61" i="1"/>
  <c r="Q61" i="1"/>
  <c r="P61" i="1"/>
  <c r="N61" i="1"/>
  <c r="S60" i="1"/>
  <c r="R60" i="1"/>
  <c r="Q60" i="1"/>
  <c r="P60" i="1"/>
  <c r="N60" i="1"/>
  <c r="S59" i="1"/>
  <c r="Q59" i="1"/>
  <c r="Y58" i="1"/>
  <c r="X58" i="1"/>
  <c r="S58" i="1"/>
  <c r="Q58" i="1"/>
  <c r="AB57" i="1"/>
  <c r="AA57" i="1"/>
  <c r="Z57" i="1"/>
  <c r="S57" i="1"/>
  <c r="Q57" i="1"/>
  <c r="S56" i="1"/>
  <c r="Q56" i="1"/>
  <c r="AO55" i="1"/>
  <c r="BK55" i="1"/>
  <c r="CH55" i="1"/>
  <c r="AJ55" i="1"/>
  <c r="AC55" i="1"/>
  <c r="S55" i="1"/>
  <c r="R55" i="1"/>
  <c r="AQ55" i="1"/>
  <c r="Q55" i="1"/>
  <c r="P55" i="1"/>
  <c r="L55" i="1"/>
  <c r="AO54" i="1"/>
  <c r="BK54" i="1"/>
  <c r="BG54" i="1"/>
  <c r="AJ54" i="1"/>
  <c r="Y54" i="1"/>
  <c r="X54" i="1"/>
  <c r="S54" i="1"/>
  <c r="R54" i="1"/>
  <c r="AQ54" i="1"/>
  <c r="Q54" i="1"/>
  <c r="P54" i="1"/>
  <c r="AP54" i="1"/>
  <c r="L54" i="1"/>
  <c r="AO53" i="1"/>
  <c r="BK53" i="1"/>
  <c r="AJ53" i="1"/>
  <c r="S53" i="1"/>
  <c r="R53" i="1"/>
  <c r="AQ53" i="1"/>
  <c r="Q53" i="1"/>
  <c r="P53" i="1"/>
  <c r="L53" i="1"/>
  <c r="AO52" i="1"/>
  <c r="BK52" i="1"/>
  <c r="CH52" i="1"/>
  <c r="BG52" i="1"/>
  <c r="AJ52" i="1"/>
  <c r="S52" i="1"/>
  <c r="R52" i="1"/>
  <c r="AQ52" i="1"/>
  <c r="Q52" i="1"/>
  <c r="P52" i="1"/>
  <c r="L52" i="1"/>
  <c r="AO51" i="1"/>
  <c r="BK51" i="1"/>
  <c r="CH51" i="1"/>
  <c r="AJ51" i="1"/>
  <c r="S51" i="1"/>
  <c r="R51" i="1"/>
  <c r="AQ51" i="1"/>
  <c r="Q51" i="1"/>
  <c r="P51" i="1"/>
  <c r="L51" i="1"/>
  <c r="BJ50" i="1"/>
  <c r="CQ50" i="1"/>
  <c r="AO50" i="1"/>
  <c r="BK50" i="1"/>
  <c r="BG50" i="1"/>
  <c r="AJ50" i="1"/>
  <c r="Y50" i="1"/>
  <c r="X50" i="1"/>
  <c r="S50" i="1"/>
  <c r="R50" i="1"/>
  <c r="AQ50" i="1"/>
  <c r="Q50" i="1"/>
  <c r="P50" i="1"/>
  <c r="AP50" i="1"/>
  <c r="L50" i="1"/>
  <c r="AO49" i="1"/>
  <c r="AN49" i="1"/>
  <c r="BL49" i="1"/>
  <c r="BN49" i="1"/>
  <c r="AJ49" i="1"/>
  <c r="AB49" i="1"/>
  <c r="AA49" i="1"/>
  <c r="Z49" i="1"/>
  <c r="S49" i="1"/>
  <c r="R49" i="1"/>
  <c r="AQ49" i="1"/>
  <c r="Q49" i="1"/>
  <c r="P49" i="1"/>
  <c r="L49" i="1"/>
  <c r="BK48" i="1"/>
  <c r="AO48" i="1"/>
  <c r="AN48" i="1"/>
  <c r="BJ48" i="1"/>
  <c r="AJ48" i="1"/>
  <c r="S48" i="1"/>
  <c r="R48" i="1"/>
  <c r="AQ48" i="1"/>
  <c r="Q48" i="1"/>
  <c r="P48" i="1"/>
  <c r="L48" i="1"/>
  <c r="BK47" i="1"/>
  <c r="BG47" i="1"/>
  <c r="AJ47" i="1"/>
  <c r="AC47" i="1"/>
  <c r="S47" i="1"/>
  <c r="Q47" i="1"/>
  <c r="L47" i="1"/>
  <c r="AO46" i="1"/>
  <c r="BK46" i="1"/>
  <c r="DI46" i="1"/>
  <c r="BJ46" i="1"/>
  <c r="AJ46" i="1"/>
  <c r="Y46" i="1"/>
  <c r="S46" i="1"/>
  <c r="R46" i="1"/>
  <c r="AQ46" i="1"/>
  <c r="Q46" i="1"/>
  <c r="P46" i="1"/>
  <c r="L46" i="1"/>
  <c r="AO45" i="1"/>
  <c r="BK45" i="1"/>
  <c r="DI45" i="1"/>
  <c r="BJ45" i="1"/>
  <c r="CZ45" i="1"/>
  <c r="AJ45" i="1"/>
  <c r="S45" i="1"/>
  <c r="R45" i="1"/>
  <c r="AQ45" i="1"/>
  <c r="Q45" i="1"/>
  <c r="P45" i="1"/>
  <c r="L45" i="1"/>
  <c r="AO44" i="1"/>
  <c r="AN44" i="1"/>
  <c r="BL44" i="1"/>
  <c r="BN44" i="1"/>
  <c r="BK44" i="1"/>
  <c r="AJ44" i="1"/>
  <c r="S44" i="1"/>
  <c r="R44" i="1"/>
  <c r="AQ44" i="1"/>
  <c r="Q44" i="1"/>
  <c r="P44" i="1"/>
  <c r="AP44" i="1"/>
  <c r="L44" i="1"/>
  <c r="AJ43" i="1"/>
  <c r="S43" i="1"/>
  <c r="Q43" i="1"/>
  <c r="L43" i="1"/>
  <c r="AO42" i="1"/>
  <c r="BK42" i="1"/>
  <c r="CH42" i="1"/>
  <c r="AJ42" i="1"/>
  <c r="Y42" i="1"/>
  <c r="S42" i="1"/>
  <c r="R42" i="1"/>
  <c r="AQ42" i="1"/>
  <c r="Q42" i="1"/>
  <c r="P42" i="1"/>
  <c r="AP42" i="1"/>
  <c r="L42" i="1"/>
  <c r="AO41" i="1"/>
  <c r="BK41" i="1"/>
  <c r="AJ41" i="1"/>
  <c r="AB41" i="1"/>
  <c r="AA41" i="1"/>
  <c r="Z41" i="1"/>
  <c r="S41" i="1"/>
  <c r="R41" i="1"/>
  <c r="AQ41" i="1"/>
  <c r="BW41" i="1"/>
  <c r="Q41" i="1"/>
  <c r="P41" i="1"/>
  <c r="AP41" i="1"/>
  <c r="L41" i="1"/>
  <c r="AO40" i="1"/>
  <c r="BK40" i="1"/>
  <c r="BJ40" i="1"/>
  <c r="AJ40" i="1"/>
  <c r="S40" i="1"/>
  <c r="R40" i="1"/>
  <c r="AQ40" i="1"/>
  <c r="Q40" i="1"/>
  <c r="P40" i="1"/>
  <c r="L40" i="1"/>
  <c r="BL39" i="1"/>
  <c r="BN39" i="1"/>
  <c r="BK39" i="1"/>
  <c r="AJ39" i="1"/>
  <c r="AC39" i="1"/>
  <c r="S39" i="1"/>
  <c r="Q39" i="1"/>
  <c r="M39" i="1"/>
  <c r="L39" i="1"/>
  <c r="AO38" i="1"/>
  <c r="BJ38" i="1"/>
  <c r="AJ38" i="1"/>
  <c r="Y38" i="1"/>
  <c r="X38" i="1"/>
  <c r="S38" i="1"/>
  <c r="R38" i="1"/>
  <c r="AQ38" i="1"/>
  <c r="Q38" i="1"/>
  <c r="P38" i="1"/>
  <c r="L38" i="1"/>
  <c r="AO37" i="1"/>
  <c r="BK37" i="1"/>
  <c r="BJ37" i="1"/>
  <c r="AJ37" i="1"/>
  <c r="AB37" i="1"/>
  <c r="AA37" i="1"/>
  <c r="Z37" i="1"/>
  <c r="S37" i="1"/>
  <c r="R37" i="1"/>
  <c r="AQ37" i="1"/>
  <c r="Q37" i="1"/>
  <c r="P37" i="1"/>
  <c r="M37" i="1"/>
  <c r="L37" i="1"/>
  <c r="AO36" i="1"/>
  <c r="BJ36" i="1"/>
  <c r="AJ36" i="1"/>
  <c r="S36" i="1"/>
  <c r="R36" i="1"/>
  <c r="AQ36" i="1"/>
  <c r="Q36" i="1"/>
  <c r="P36" i="1"/>
  <c r="AP36" i="1"/>
  <c r="L36" i="1"/>
  <c r="AO35" i="1"/>
  <c r="AJ35" i="1"/>
  <c r="AC35" i="1"/>
  <c r="S35" i="1"/>
  <c r="R35" i="1"/>
  <c r="AQ35" i="1"/>
  <c r="Q35" i="1"/>
  <c r="P35" i="1"/>
  <c r="L35" i="1"/>
  <c r="BJ34" i="1"/>
  <c r="AO34" i="1"/>
  <c r="AJ34" i="1"/>
  <c r="Y34" i="1"/>
  <c r="S34" i="1"/>
  <c r="R34" i="1"/>
  <c r="AQ34" i="1"/>
  <c r="Q34" i="1"/>
  <c r="P34" i="1"/>
  <c r="AP34" i="1"/>
  <c r="L34" i="1"/>
  <c r="AO33" i="1"/>
  <c r="BJ33" i="1"/>
  <c r="AJ33" i="1"/>
  <c r="S33" i="1"/>
  <c r="R33" i="1"/>
  <c r="AQ33" i="1"/>
  <c r="Q33" i="1"/>
  <c r="P33" i="1"/>
  <c r="AP33" i="1"/>
  <c r="L33" i="1"/>
  <c r="AO32" i="1"/>
  <c r="BK32" i="1"/>
  <c r="AJ32" i="1"/>
  <c r="S32" i="1"/>
  <c r="R32" i="1"/>
  <c r="AQ32" i="1"/>
  <c r="Q32" i="1"/>
  <c r="P32" i="1"/>
  <c r="AP32" i="1"/>
  <c r="L32" i="1"/>
  <c r="AO31" i="1"/>
  <c r="BK31" i="1"/>
  <c r="DI31" i="1"/>
  <c r="AJ31" i="1"/>
  <c r="S31" i="1"/>
  <c r="R31" i="1"/>
  <c r="AQ31" i="1"/>
  <c r="Q31" i="1"/>
  <c r="P31" i="1"/>
  <c r="L31" i="1"/>
  <c r="AO30" i="1"/>
  <c r="AN30" i="1"/>
  <c r="BJ30" i="1"/>
  <c r="AJ30" i="1"/>
  <c r="Y30" i="1"/>
  <c r="S30" i="1"/>
  <c r="R30" i="1"/>
  <c r="AQ30" i="1"/>
  <c r="Q30" i="1"/>
  <c r="P30" i="1"/>
  <c r="L30" i="1"/>
  <c r="AO29" i="1"/>
  <c r="AN29" i="1"/>
  <c r="BJ29" i="1"/>
  <c r="AJ29" i="1"/>
  <c r="AB29" i="1"/>
  <c r="AA29" i="1"/>
  <c r="Z29" i="1"/>
  <c r="S29" i="1"/>
  <c r="R29" i="1"/>
  <c r="AQ29" i="1"/>
  <c r="Q29" i="1"/>
  <c r="P29" i="1"/>
  <c r="L29" i="1"/>
  <c r="AO28" i="1"/>
  <c r="BJ28" i="1"/>
  <c r="AJ28" i="1"/>
  <c r="AE28" i="1"/>
  <c r="S28" i="1"/>
  <c r="R28" i="1"/>
  <c r="AQ28" i="1"/>
  <c r="Q28" i="1"/>
  <c r="P28" i="1"/>
  <c r="L28" i="1"/>
  <c r="AO27" i="1"/>
  <c r="AN27" i="1"/>
  <c r="BL27" i="1"/>
  <c r="BN27" i="1"/>
  <c r="BJ27" i="1"/>
  <c r="AJ27" i="1"/>
  <c r="S27" i="1"/>
  <c r="R27" i="1"/>
  <c r="AQ27" i="1"/>
  <c r="Q27" i="1"/>
  <c r="P27" i="1"/>
  <c r="AP27" i="1"/>
  <c r="L27" i="1"/>
  <c r="AO26" i="1"/>
  <c r="BK26" i="1"/>
  <c r="AJ26" i="1"/>
  <c r="S26" i="1"/>
  <c r="R26" i="1"/>
  <c r="AQ26" i="1"/>
  <c r="Q26" i="1"/>
  <c r="P26" i="1"/>
  <c r="AP26" i="1"/>
  <c r="L26" i="1"/>
  <c r="AO25" i="1"/>
  <c r="BK25" i="1"/>
  <c r="BJ25" i="1"/>
  <c r="CZ25" i="1"/>
  <c r="AJ25" i="1"/>
  <c r="S25" i="1"/>
  <c r="R25" i="1"/>
  <c r="AQ25" i="1"/>
  <c r="Q25" i="1"/>
  <c r="P25" i="1"/>
  <c r="L25" i="1"/>
  <c r="AO24" i="1"/>
  <c r="BK24" i="1"/>
  <c r="AJ24" i="1"/>
  <c r="X24" i="1"/>
  <c r="S24" i="1"/>
  <c r="R24" i="1"/>
  <c r="AQ24" i="1"/>
  <c r="Q24" i="1"/>
  <c r="P24" i="1"/>
  <c r="L24" i="1"/>
  <c r="AO23" i="1"/>
  <c r="BK23" i="1"/>
  <c r="AJ23" i="1"/>
  <c r="AB23" i="1"/>
  <c r="AA23" i="1"/>
  <c r="Z23" i="1"/>
  <c r="S23" i="1"/>
  <c r="R23" i="1"/>
  <c r="AQ23" i="1"/>
  <c r="Q23" i="1"/>
  <c r="P23" i="1"/>
  <c r="AP23" i="1"/>
  <c r="L23" i="1"/>
  <c r="AO22" i="1"/>
  <c r="BJ22" i="1"/>
  <c r="AJ22" i="1"/>
  <c r="S22" i="1"/>
  <c r="R22" i="1"/>
  <c r="AQ22" i="1"/>
  <c r="Q22" i="1"/>
  <c r="P22" i="1"/>
  <c r="AP22" i="1"/>
  <c r="L22" i="1"/>
  <c r="AO21" i="1"/>
  <c r="BK21" i="1"/>
  <c r="AJ21" i="1"/>
  <c r="AC21" i="1"/>
  <c r="S21" i="1"/>
  <c r="R21" i="1"/>
  <c r="AQ21" i="1"/>
  <c r="Q21" i="1"/>
  <c r="P21" i="1"/>
  <c r="L21" i="1"/>
  <c r="AO20" i="1"/>
  <c r="BK20" i="1"/>
  <c r="AJ20" i="1"/>
  <c r="X20" i="1"/>
  <c r="S20" i="1"/>
  <c r="R20" i="1"/>
  <c r="AQ20" i="1"/>
  <c r="Q20" i="1"/>
  <c r="P20" i="1"/>
  <c r="L20" i="1"/>
  <c r="AO19" i="1"/>
  <c r="BK19" i="1"/>
  <c r="BJ19" i="1"/>
  <c r="AJ19" i="1"/>
  <c r="S19" i="1"/>
  <c r="R19" i="1"/>
  <c r="AQ19" i="1"/>
  <c r="Q19" i="1"/>
  <c r="P19" i="1"/>
  <c r="AP19" i="1"/>
  <c r="L19" i="1"/>
  <c r="AO18" i="1"/>
  <c r="BJ18" i="1"/>
  <c r="AJ18" i="1"/>
  <c r="S18" i="1"/>
  <c r="R18" i="1"/>
  <c r="AQ18" i="1"/>
  <c r="Q18" i="1"/>
  <c r="P18" i="1"/>
  <c r="AP18" i="1"/>
  <c r="L18" i="1"/>
  <c r="AO17" i="1"/>
  <c r="BK17" i="1"/>
  <c r="AJ17" i="1"/>
  <c r="S17" i="1"/>
  <c r="R17" i="1"/>
  <c r="AQ17" i="1"/>
  <c r="Q17" i="1"/>
  <c r="P17" i="1"/>
  <c r="AP17" i="1"/>
  <c r="L17" i="1"/>
  <c r="AO16" i="1"/>
  <c r="BK16" i="1"/>
  <c r="BJ16" i="1"/>
  <c r="AJ16" i="1"/>
  <c r="X16" i="1"/>
  <c r="S16" i="1"/>
  <c r="R16" i="1"/>
  <c r="AQ16" i="1"/>
  <c r="Q16" i="1"/>
  <c r="P16" i="1"/>
  <c r="AP16" i="1"/>
  <c r="L16" i="1"/>
  <c r="AO15" i="1"/>
  <c r="BJ15" i="1"/>
  <c r="CZ15" i="1"/>
  <c r="AJ15" i="1"/>
  <c r="AB15" i="1"/>
  <c r="AA15" i="1"/>
  <c r="Z15" i="1"/>
  <c r="S15" i="1"/>
  <c r="R15" i="1"/>
  <c r="AQ15" i="1"/>
  <c r="Q15" i="1"/>
  <c r="P15" i="1"/>
  <c r="L15" i="1"/>
  <c r="AO14" i="1"/>
  <c r="AN14" i="1"/>
  <c r="BL14" i="1"/>
  <c r="BN14" i="1"/>
  <c r="BJ14" i="1"/>
  <c r="AJ14" i="1"/>
  <c r="S14" i="1"/>
  <c r="R14" i="1"/>
  <c r="AQ14" i="1"/>
  <c r="Q14" i="1"/>
  <c r="P14" i="1"/>
  <c r="AP14" i="1"/>
  <c r="L14" i="1"/>
  <c r="AO13" i="1"/>
  <c r="AJ13" i="1"/>
  <c r="AC13" i="1"/>
  <c r="S13" i="1"/>
  <c r="R13" i="1"/>
  <c r="AQ13" i="1"/>
  <c r="Q13" i="1"/>
  <c r="P13" i="1"/>
  <c r="AP13" i="1"/>
  <c r="L13" i="1"/>
  <c r="AO12" i="1"/>
  <c r="BK12" i="1"/>
  <c r="BJ12" i="1"/>
  <c r="AJ12" i="1"/>
  <c r="S12" i="1"/>
  <c r="R12" i="1"/>
  <c r="AQ12" i="1"/>
  <c r="Q12" i="1"/>
  <c r="P12" i="1"/>
  <c r="L12" i="1"/>
  <c r="AO11" i="1"/>
  <c r="AN11" i="1"/>
  <c r="BL11" i="1"/>
  <c r="BN11" i="1"/>
  <c r="BJ11" i="1"/>
  <c r="AJ11" i="1"/>
  <c r="S11" i="1"/>
  <c r="R11" i="1"/>
  <c r="AQ11" i="1"/>
  <c r="Q11" i="1"/>
  <c r="P11" i="1"/>
  <c r="AP11" i="1"/>
  <c r="L11" i="1"/>
  <c r="AO10" i="1"/>
  <c r="AJ10" i="1"/>
  <c r="S10" i="1"/>
  <c r="R10" i="1"/>
  <c r="AQ10" i="1"/>
  <c r="Q10" i="1"/>
  <c r="P10" i="1"/>
  <c r="AP10" i="1"/>
  <c r="L10" i="1"/>
  <c r="AO9" i="1"/>
  <c r="BK9" i="1"/>
  <c r="BJ9" i="1"/>
  <c r="AJ9" i="1"/>
  <c r="S9" i="1"/>
  <c r="R9" i="1"/>
  <c r="AQ9" i="1"/>
  <c r="Q9" i="1"/>
  <c r="P9" i="1"/>
  <c r="AP9" i="1"/>
  <c r="L9" i="1"/>
  <c r="AO8" i="1"/>
  <c r="BK8" i="1"/>
  <c r="AJ8" i="1"/>
  <c r="Y8" i="1"/>
  <c r="S8" i="1"/>
  <c r="R8" i="1"/>
  <c r="AQ8" i="1"/>
  <c r="Q8" i="1"/>
  <c r="P8" i="1"/>
  <c r="AP8" i="1"/>
  <c r="L8" i="1"/>
  <c r="AO7" i="1"/>
  <c r="BK7" i="1"/>
  <c r="AJ7" i="1"/>
  <c r="AB7" i="1"/>
  <c r="AB5" i="1"/>
  <c r="AC5" i="1"/>
  <c r="AA7" i="1"/>
  <c r="Z7" i="1"/>
  <c r="S7" i="1"/>
  <c r="R7" i="1"/>
  <c r="AQ7" i="1"/>
  <c r="Q7" i="1"/>
  <c r="P7" i="1"/>
  <c r="AP7" i="1"/>
  <c r="L7" i="1"/>
  <c r="AO6" i="1"/>
  <c r="BK6" i="1"/>
  <c r="AJ6" i="1"/>
  <c r="S6" i="1"/>
  <c r="R6" i="1"/>
  <c r="AQ6" i="1"/>
  <c r="Q6" i="1"/>
  <c r="P6" i="1"/>
  <c r="AP6" i="1"/>
  <c r="L6" i="1"/>
  <c r="DW5" i="1"/>
  <c r="DT5" i="1"/>
  <c r="AO5" i="1"/>
  <c r="BK5" i="1"/>
  <c r="AJ5" i="1"/>
  <c r="S5" i="1"/>
  <c r="R5" i="1"/>
  <c r="AQ5" i="1"/>
  <c r="Q5" i="1"/>
  <c r="P5" i="1"/>
  <c r="L5" i="1"/>
  <c r="AQ2" i="1"/>
  <c r="K22" i="2"/>
  <c r="K23" i="2"/>
  <c r="K26" i="2"/>
  <c r="K6" i="2"/>
  <c r="M9" i="2"/>
  <c r="N37" i="1"/>
  <c r="N39" i="1"/>
  <c r="AC137" i="1"/>
  <c r="M21" i="1"/>
  <c r="N21" i="1"/>
  <c r="M5" i="1"/>
  <c r="BD44" i="1"/>
  <c r="BE44" i="1"/>
  <c r="BH44" i="1"/>
  <c r="M48" i="1"/>
  <c r="N48" i="1"/>
  <c r="M54" i="1"/>
  <c r="N54" i="1"/>
  <c r="M44" i="1"/>
  <c r="N44" i="1"/>
  <c r="M50" i="1"/>
  <c r="N50" i="1"/>
  <c r="AR50" i="1"/>
  <c r="AN51" i="1"/>
  <c r="BL51" i="1"/>
  <c r="BN51" i="1"/>
  <c r="BG39" i="1"/>
  <c r="BE39" i="1"/>
  <c r="BG44" i="1"/>
  <c r="DI42" i="1"/>
  <c r="BL47" i="1"/>
  <c r="BN47" i="1"/>
  <c r="BG51" i="1"/>
  <c r="AN52" i="1"/>
  <c r="CQ48" i="1"/>
  <c r="CZ48" i="1"/>
  <c r="DI39" i="1"/>
  <c r="CH39" i="1"/>
  <c r="BG45" i="1"/>
  <c r="BG48" i="1"/>
  <c r="BJ44" i="1"/>
  <c r="CQ44" i="1"/>
  <c r="AN45" i="1"/>
  <c r="BL45" i="1"/>
  <c r="BN45" i="1"/>
  <c r="BJ47" i="1"/>
  <c r="BG49" i="1"/>
  <c r="BD49" i="1"/>
  <c r="BE49" i="1"/>
  <c r="BW40" i="1"/>
  <c r="CR40" i="1"/>
  <c r="CS40" i="1"/>
  <c r="BG40" i="1"/>
  <c r="BW42" i="1"/>
  <c r="BG46" i="1"/>
  <c r="BK49" i="1"/>
  <c r="BD51" i="1"/>
  <c r="AN40" i="1"/>
  <c r="BL40" i="1"/>
  <c r="BN40" i="1"/>
  <c r="BV43" i="1"/>
  <c r="BD45" i="1"/>
  <c r="BE45" i="1"/>
  <c r="AN46" i="1"/>
  <c r="BL46" i="1"/>
  <c r="BN46" i="1"/>
  <c r="AN50" i="1"/>
  <c r="M29" i="1"/>
  <c r="M22" i="1"/>
  <c r="N22" i="1"/>
  <c r="M36" i="1"/>
  <c r="N36" i="1"/>
  <c r="BG27" i="1"/>
  <c r="N29" i="1"/>
  <c r="AC161" i="1"/>
  <c r="AD159" i="1"/>
  <c r="AE159" i="1"/>
  <c r="AC169" i="1"/>
  <c r="DI25" i="1"/>
  <c r="CH25" i="1"/>
  <c r="CQ37" i="1"/>
  <c r="CZ37" i="1"/>
  <c r="BG23" i="1"/>
  <c r="BG29" i="1"/>
  <c r="BG30" i="1"/>
  <c r="BG37" i="1"/>
  <c r="BJ23" i="1"/>
  <c r="CQ23" i="1"/>
  <c r="BW24" i="1"/>
  <c r="BG24" i="1"/>
  <c r="BK29" i="1"/>
  <c r="CH29" i="1"/>
  <c r="BK30" i="1"/>
  <c r="AN31" i="1"/>
  <c r="BL31" i="1"/>
  <c r="BN31" i="1"/>
  <c r="AN23" i="1"/>
  <c r="BL23" i="1"/>
  <c r="BN23" i="1"/>
  <c r="BJ24" i="1"/>
  <c r="CQ24" i="1"/>
  <c r="BG25" i="1"/>
  <c r="AN37" i="1"/>
  <c r="BL37" i="1"/>
  <c r="BN37" i="1"/>
  <c r="AC129" i="1"/>
  <c r="AD127" i="1"/>
  <c r="AE127" i="1"/>
  <c r="AC145" i="1"/>
  <c r="AD143" i="1"/>
  <c r="AE143" i="1"/>
  <c r="AC177" i="1"/>
  <c r="AD175" i="1"/>
  <c r="AE175" i="1"/>
  <c r="AN24" i="1"/>
  <c r="BL24" i="1"/>
  <c r="BN24" i="1"/>
  <c r="AN25" i="1"/>
  <c r="BL25" i="1"/>
  <c r="BN25" i="1"/>
  <c r="BG31" i="1"/>
  <c r="AR36" i="1"/>
  <c r="AD167" i="1"/>
  <c r="AE167" i="1"/>
  <c r="M7" i="1"/>
  <c r="N7" i="1"/>
  <c r="M9" i="1"/>
  <c r="N9" i="1"/>
  <c r="M11" i="1"/>
  <c r="N11" i="1"/>
  <c r="AN12" i="1"/>
  <c r="BL12" i="1"/>
  <c r="BN12" i="1"/>
  <c r="AC7" i="1"/>
  <c r="AN9" i="1"/>
  <c r="BL9" i="1"/>
  <c r="BN9" i="1"/>
  <c r="BG16" i="1"/>
  <c r="AC89" i="1"/>
  <c r="AD87" i="1"/>
  <c r="AE87" i="1"/>
  <c r="AN20" i="1"/>
  <c r="BL20" i="1"/>
  <c r="BN20" i="1"/>
  <c r="BV11" i="1"/>
  <c r="BG15" i="1"/>
  <c r="AN19" i="1"/>
  <c r="BL19" i="1"/>
  <c r="BN19" i="1"/>
  <c r="AC23" i="1"/>
  <c r="AD21" i="1"/>
  <c r="AE21" i="1"/>
  <c r="AN5" i="1"/>
  <c r="BL5" i="1"/>
  <c r="BN5" i="1"/>
  <c r="BG20" i="1"/>
  <c r="BJ20" i="1"/>
  <c r="CQ20" i="1"/>
  <c r="AC57" i="1"/>
  <c r="AD55" i="1"/>
  <c r="AE55" i="1"/>
  <c r="AC73" i="1"/>
  <c r="AC105" i="1"/>
  <c r="AD103" i="1"/>
  <c r="AE103" i="1"/>
  <c r="BG14" i="1"/>
  <c r="AC29" i="1"/>
  <c r="AC37" i="1"/>
  <c r="CH16" i="1"/>
  <c r="DI16" i="1"/>
  <c r="AD5" i="1"/>
  <c r="AE5" i="1"/>
  <c r="BK11" i="1"/>
  <c r="CI11" i="1"/>
  <c r="CJ11" i="1"/>
  <c r="BG10" i="1"/>
  <c r="BG11" i="1"/>
  <c r="AC15" i="1"/>
  <c r="AD13" i="1"/>
  <c r="AE13" i="1"/>
  <c r="AN15" i="1"/>
  <c r="BL15" i="1"/>
  <c r="BN15" i="1"/>
  <c r="BK15" i="1"/>
  <c r="AN16" i="1"/>
  <c r="BL16" i="1"/>
  <c r="BN16" i="1"/>
  <c r="BG19" i="1"/>
  <c r="AN21" i="1"/>
  <c r="BL21" i="1"/>
  <c r="BN21" i="1"/>
  <c r="AC97" i="1"/>
  <c r="AD95" i="1"/>
  <c r="AE95" i="1"/>
  <c r="AC113" i="1"/>
  <c r="AD111" i="1"/>
  <c r="AE111" i="1"/>
  <c r="BG5" i="1"/>
  <c r="AN7" i="1"/>
  <c r="BL7" i="1"/>
  <c r="BN7" i="1"/>
  <c r="BG12" i="1"/>
  <c r="BV18" i="1"/>
  <c r="BW19" i="1"/>
  <c r="CR19" i="1"/>
  <c r="CS19" i="1"/>
  <c r="BW20" i="1"/>
  <c r="AD35" i="1"/>
  <c r="AE35" i="1"/>
  <c r="AC49" i="1"/>
  <c r="AD47" i="1"/>
  <c r="AE47" i="1"/>
  <c r="AC65" i="1"/>
  <c r="AD63" i="1"/>
  <c r="AE63" i="1"/>
  <c r="AC81" i="1"/>
  <c r="AD79" i="1"/>
  <c r="AE79" i="1"/>
  <c r="M35" i="1"/>
  <c r="N35" i="1"/>
  <c r="BV36" i="1"/>
  <c r="BW30" i="1"/>
  <c r="CR30" i="1"/>
  <c r="BW29" i="1"/>
  <c r="CR29" i="1"/>
  <c r="M27" i="1"/>
  <c r="N27" i="1"/>
  <c r="BW15" i="1"/>
  <c r="CR15" i="1"/>
  <c r="CS15" i="1"/>
  <c r="AW16" i="1"/>
  <c r="AX16" i="1"/>
  <c r="M57" i="1"/>
  <c r="N57" i="1"/>
  <c r="M58" i="1"/>
  <c r="N58" i="1"/>
  <c r="BW56" i="1"/>
  <c r="CR56" i="1"/>
  <c r="BW57" i="1"/>
  <c r="CR57" i="1"/>
  <c r="BW58" i="1"/>
  <c r="CR58" i="1"/>
  <c r="M59" i="1"/>
  <c r="N59" i="1"/>
  <c r="M56" i="1"/>
  <c r="N56" i="1"/>
  <c r="BW59" i="1"/>
  <c r="CR59" i="1"/>
  <c r="M43" i="1"/>
  <c r="N43" i="1"/>
  <c r="M53" i="1"/>
  <c r="N53" i="1"/>
  <c r="AP53" i="1"/>
  <c r="AR53" i="1"/>
  <c r="BW50" i="1"/>
  <c r="CR50" i="1"/>
  <c r="CS50" i="1"/>
  <c r="M42" i="1"/>
  <c r="N42" i="1"/>
  <c r="BW44" i="1"/>
  <c r="M47" i="1"/>
  <c r="N47" i="1"/>
  <c r="BV47" i="1"/>
  <c r="CI47" i="1"/>
  <c r="BW47" i="1"/>
  <c r="BW48" i="1"/>
  <c r="CR48" i="1"/>
  <c r="BW45" i="1"/>
  <c r="CR45" i="1"/>
  <c r="CS45" i="1"/>
  <c r="BW49" i="1"/>
  <c r="BW37" i="1"/>
  <c r="CR37" i="1"/>
  <c r="M23" i="1"/>
  <c r="N23" i="1"/>
  <c r="AS23" i="1"/>
  <c r="M32" i="1"/>
  <c r="N32" i="1"/>
  <c r="M33" i="1"/>
  <c r="N33" i="1"/>
  <c r="BV33" i="1"/>
  <c r="BV22" i="1"/>
  <c r="M26" i="1"/>
  <c r="N26" i="1"/>
  <c r="BV27" i="1"/>
  <c r="M18" i="1"/>
  <c r="N18" i="1"/>
  <c r="AP21" i="1"/>
  <c r="AR21" i="1"/>
  <c r="M19" i="1"/>
  <c r="N19" i="1"/>
  <c r="BV13" i="1"/>
  <c r="AS11" i="1"/>
  <c r="BW12" i="1"/>
  <c r="CR12" i="1"/>
  <c r="CS12" i="1"/>
  <c r="M6" i="1"/>
  <c r="N6" i="1"/>
  <c r="M14" i="1"/>
  <c r="N14" i="1"/>
  <c r="BW16" i="1"/>
  <c r="CR16" i="1"/>
  <c r="BV9" i="1"/>
  <c r="CI9" i="1"/>
  <c r="AR7" i="1"/>
  <c r="BV7" i="1"/>
  <c r="CI7" i="1"/>
  <c r="DI8" i="1"/>
  <c r="CH8" i="1"/>
  <c r="AS9" i="1"/>
  <c r="BW9" i="1"/>
  <c r="CR9" i="1"/>
  <c r="CS9" i="1"/>
  <c r="AR9" i="1"/>
  <c r="DI9" i="1"/>
  <c r="CH9" i="1"/>
  <c r="AR10" i="1"/>
  <c r="BV10" i="1"/>
  <c r="AS6" i="1"/>
  <c r="BW6" i="1"/>
  <c r="DI6" i="1"/>
  <c r="CH6" i="1"/>
  <c r="AW8" i="1"/>
  <c r="AR8" i="1"/>
  <c r="BV8" i="1"/>
  <c r="CI8" i="1"/>
  <c r="BW5" i="1"/>
  <c r="AS7" i="1"/>
  <c r="BW7" i="1"/>
  <c r="DI7" i="1"/>
  <c r="CH7" i="1"/>
  <c r="N5" i="1"/>
  <c r="DI5" i="1"/>
  <c r="CH5" i="1"/>
  <c r="AW6" i="1"/>
  <c r="AR6" i="1"/>
  <c r="BV6" i="1"/>
  <c r="CI6" i="1"/>
  <c r="AS8" i="1"/>
  <c r="BW8" i="1"/>
  <c r="CQ9" i="1"/>
  <c r="BM9" i="1"/>
  <c r="BO9" i="1"/>
  <c r="CZ9" i="1"/>
  <c r="BF50" i="1"/>
  <c r="BF48" i="1"/>
  <c r="BF44" i="1"/>
  <c r="BF37" i="1"/>
  <c r="BF36" i="1"/>
  <c r="BF24" i="1"/>
  <c r="BF23" i="1"/>
  <c r="BF20" i="1"/>
  <c r="BF19" i="1"/>
  <c r="BF38" i="1"/>
  <c r="BF27" i="1"/>
  <c r="BF18" i="1"/>
  <c r="BF14" i="1"/>
  <c r="BF33" i="1"/>
  <c r="BF34" i="1"/>
  <c r="BF22" i="1"/>
  <c r="BF28" i="1"/>
  <c r="BF7" i="1"/>
  <c r="BJ7" i="1"/>
  <c r="BF8" i="1"/>
  <c r="BJ8" i="1"/>
  <c r="BG9" i="1"/>
  <c r="BW10" i="1"/>
  <c r="BJ10" i="1"/>
  <c r="AR11" i="1"/>
  <c r="AR13" i="1"/>
  <c r="BF13" i="1"/>
  <c r="AP5" i="1"/>
  <c r="AS5" i="1"/>
  <c r="BF6" i="1"/>
  <c r="BJ6" i="1"/>
  <c r="BG7" i="1"/>
  <c r="AN8" i="1"/>
  <c r="BL8" i="1"/>
  <c r="BN8" i="1"/>
  <c r="BG8" i="1"/>
  <c r="AW9" i="1"/>
  <c r="BK10" i="1"/>
  <c r="AN10" i="1"/>
  <c r="BL10" i="1"/>
  <c r="BN10" i="1"/>
  <c r="AS10" i="1"/>
  <c r="BF10" i="1"/>
  <c r="DI12" i="1"/>
  <c r="CH12" i="1"/>
  <c r="BF5" i="1"/>
  <c r="BJ5" i="1"/>
  <c r="AN6" i="1"/>
  <c r="BL6" i="1"/>
  <c r="BN6" i="1"/>
  <c r="BG6" i="1"/>
  <c r="M10" i="1"/>
  <c r="N10" i="1"/>
  <c r="BM12" i="1"/>
  <c r="BO12" i="1"/>
  <c r="CZ12" i="1"/>
  <c r="CQ12" i="1"/>
  <c r="AS14" i="1"/>
  <c r="BW14" i="1"/>
  <c r="CR14" i="1"/>
  <c r="M8" i="1"/>
  <c r="N8" i="1"/>
  <c r="BF9" i="1"/>
  <c r="BM11" i="1"/>
  <c r="BO11" i="1"/>
  <c r="CZ11" i="1"/>
  <c r="CQ11" i="1"/>
  <c r="BW11" i="1"/>
  <c r="CR11" i="1"/>
  <c r="AS22" i="1"/>
  <c r="BW22" i="1"/>
  <c r="CR22" i="1"/>
  <c r="BM16" i="1"/>
  <c r="BO16" i="1"/>
  <c r="AS16" i="1"/>
  <c r="BG17" i="1"/>
  <c r="BJ17" i="1"/>
  <c r="BF17" i="1"/>
  <c r="AS18" i="1"/>
  <c r="BW18" i="1"/>
  <c r="CR18" i="1"/>
  <c r="BM18" i="1"/>
  <c r="BO18" i="1"/>
  <c r="CZ18" i="1"/>
  <c r="CQ18" i="1"/>
  <c r="BV19" i="1"/>
  <c r="CI19" i="1"/>
  <c r="CJ19" i="1"/>
  <c r="AP20" i="1"/>
  <c r="AS20" i="1"/>
  <c r="M20" i="1"/>
  <c r="N20" i="1"/>
  <c r="DI20" i="1"/>
  <c r="CH20" i="1"/>
  <c r="BW21" i="1"/>
  <c r="BG21" i="1"/>
  <c r="BJ21" i="1"/>
  <c r="BF21" i="1"/>
  <c r="DI23" i="1"/>
  <c r="CH23" i="1"/>
  <c r="M25" i="1"/>
  <c r="N25" i="1"/>
  <c r="AP25" i="1"/>
  <c r="AS25" i="1"/>
  <c r="AR26" i="1"/>
  <c r="BV26" i="1"/>
  <c r="CI26" i="1"/>
  <c r="BK28" i="1"/>
  <c r="BG28" i="1"/>
  <c r="AN28" i="1"/>
  <c r="BL28" i="1"/>
  <c r="BN28" i="1"/>
  <c r="AS33" i="1"/>
  <c r="BW33" i="1"/>
  <c r="CR33" i="1"/>
  <c r="AW11" i="1"/>
  <c r="BD11" i="1"/>
  <c r="BD14" i="1"/>
  <c r="BM14" i="1"/>
  <c r="BO14" i="1"/>
  <c r="CZ14" i="1"/>
  <c r="CQ14" i="1"/>
  <c r="CQ16" i="1"/>
  <c r="AS17" i="1"/>
  <c r="BW17" i="1"/>
  <c r="DI17" i="1"/>
  <c r="CH17" i="1"/>
  <c r="BK18" i="1"/>
  <c r="AN18" i="1"/>
  <c r="BL18" i="1"/>
  <c r="BN18" i="1"/>
  <c r="AR19" i="1"/>
  <c r="DI21" i="1"/>
  <c r="CH21" i="1"/>
  <c r="BM25" i="1"/>
  <c r="BO25" i="1"/>
  <c r="BG26" i="1"/>
  <c r="BF26" i="1"/>
  <c r="BJ26" i="1"/>
  <c r="BM27" i="1"/>
  <c r="BO27" i="1"/>
  <c r="CZ27" i="1"/>
  <c r="CQ27" i="1"/>
  <c r="BG13" i="1"/>
  <c r="AS13" i="1"/>
  <c r="BW13" i="1"/>
  <c r="BJ13" i="1"/>
  <c r="AR14" i="1"/>
  <c r="BK14" i="1"/>
  <c r="M15" i="1"/>
  <c r="N15" i="1"/>
  <c r="AP15" i="1"/>
  <c r="CQ15" i="1"/>
  <c r="AR16" i="1"/>
  <c r="BV16" i="1"/>
  <c r="CI16" i="1"/>
  <c r="CJ16" i="1"/>
  <c r="AS19" i="1"/>
  <c r="DI19" i="1"/>
  <c r="CH19" i="1"/>
  <c r="BM22" i="1"/>
  <c r="BO22" i="1"/>
  <c r="CZ22" i="1"/>
  <c r="CQ22" i="1"/>
  <c r="BV23" i="1"/>
  <c r="CI23" i="1"/>
  <c r="CJ23" i="1"/>
  <c r="AW23" i="1"/>
  <c r="AP24" i="1"/>
  <c r="AS24" i="1"/>
  <c r="M24" i="1"/>
  <c r="N24" i="1"/>
  <c r="DI24" i="1"/>
  <c r="CH24" i="1"/>
  <c r="BW25" i="1"/>
  <c r="CR25" i="1"/>
  <c r="CS25" i="1"/>
  <c r="CQ25" i="1"/>
  <c r="AS26" i="1"/>
  <c r="BW26" i="1"/>
  <c r="AS27" i="1"/>
  <c r="BW27" i="1"/>
  <c r="CR27" i="1"/>
  <c r="BW35" i="1"/>
  <c r="BF11" i="1"/>
  <c r="M12" i="1"/>
  <c r="N12" i="1"/>
  <c r="AP12" i="1"/>
  <c r="AS12" i="1"/>
  <c r="M13" i="1"/>
  <c r="N13" i="1"/>
  <c r="BK13" i="1"/>
  <c r="AN13" i="1"/>
  <c r="BL13" i="1"/>
  <c r="BN13" i="1"/>
  <c r="BV14" i="1"/>
  <c r="BM15" i="1"/>
  <c r="BO15" i="1"/>
  <c r="CZ16" i="1"/>
  <c r="M17" i="1"/>
  <c r="N17" i="1"/>
  <c r="AR17" i="1"/>
  <c r="BV17" i="1"/>
  <c r="CI17" i="1"/>
  <c r="BK22" i="1"/>
  <c r="AN22" i="1"/>
  <c r="BL22" i="1"/>
  <c r="BN22" i="1"/>
  <c r="AR23" i="1"/>
  <c r="BW23" i="1"/>
  <c r="BD27" i="1"/>
  <c r="AR34" i="1"/>
  <c r="BV34" i="1"/>
  <c r="M16" i="1"/>
  <c r="N16" i="1"/>
  <c r="AR18" i="1"/>
  <c r="BG18" i="1"/>
  <c r="CQ19" i="1"/>
  <c r="CZ19" i="1"/>
  <c r="CZ20" i="1"/>
  <c r="AR22" i="1"/>
  <c r="BG22" i="1"/>
  <c r="DI26" i="1"/>
  <c r="CH26" i="1"/>
  <c r="AR27" i="1"/>
  <c r="BK27" i="1"/>
  <c r="AP28" i="1"/>
  <c r="M28" i="1"/>
  <c r="N28" i="1"/>
  <c r="BM28" i="1"/>
  <c r="BO28" i="1"/>
  <c r="CZ28" i="1"/>
  <c r="CQ28" i="1"/>
  <c r="BM29" i="1"/>
  <c r="BO29" i="1"/>
  <c r="CZ29" i="1"/>
  <c r="CQ29" i="1"/>
  <c r="BM30" i="1"/>
  <c r="BO30" i="1"/>
  <c r="CZ30" i="1"/>
  <c r="CQ30" i="1"/>
  <c r="CH30" i="1"/>
  <c r="BW31" i="1"/>
  <c r="CH31" i="1"/>
  <c r="AR32" i="1"/>
  <c r="BV32" i="1"/>
  <c r="CI32" i="1"/>
  <c r="AR33" i="1"/>
  <c r="BM33" i="1"/>
  <c r="BO33" i="1"/>
  <c r="CZ33" i="1"/>
  <c r="CQ33" i="1"/>
  <c r="AS34" i="1"/>
  <c r="BW34" i="1"/>
  <c r="CR34" i="1"/>
  <c r="BM34" i="1"/>
  <c r="BO34" i="1"/>
  <c r="CZ34" i="1"/>
  <c r="CQ34" i="1"/>
  <c r="BG35" i="1"/>
  <c r="BF35" i="1"/>
  <c r="AS36" i="1"/>
  <c r="BW36" i="1"/>
  <c r="CR36" i="1"/>
  <c r="BG36" i="1"/>
  <c r="AN36" i="1"/>
  <c r="BL36" i="1"/>
  <c r="BN36" i="1"/>
  <c r="BF12" i="1"/>
  <c r="BF15" i="1"/>
  <c r="BF16" i="1"/>
  <c r="AN17" i="1"/>
  <c r="BL17" i="1"/>
  <c r="BN17" i="1"/>
  <c r="BM19" i="1"/>
  <c r="BO19" i="1"/>
  <c r="AW22" i="1"/>
  <c r="BF25" i="1"/>
  <c r="AN26" i="1"/>
  <c r="BL26" i="1"/>
  <c r="BN26" i="1"/>
  <c r="BG32" i="1"/>
  <c r="BJ32" i="1"/>
  <c r="BF32" i="1"/>
  <c r="BJ35" i="1"/>
  <c r="BK36" i="1"/>
  <c r="BV44" i="1"/>
  <c r="CI44" i="1"/>
  <c r="AR44" i="1"/>
  <c r="AS28" i="1"/>
  <c r="BW28" i="1"/>
  <c r="CR28" i="1"/>
  <c r="BL29" i="1"/>
  <c r="BN29" i="1"/>
  <c r="BD29" i="1"/>
  <c r="AP30" i="1"/>
  <c r="AS30" i="1"/>
  <c r="M30" i="1"/>
  <c r="N30" i="1"/>
  <c r="BL30" i="1"/>
  <c r="BN30" i="1"/>
  <c r="BD30" i="1"/>
  <c r="M31" i="1"/>
  <c r="N31" i="1"/>
  <c r="AP31" i="1"/>
  <c r="AS32" i="1"/>
  <c r="BW32" i="1"/>
  <c r="DI32" i="1"/>
  <c r="CH32" i="1"/>
  <c r="BK33" i="1"/>
  <c r="BG33" i="1"/>
  <c r="AN33" i="1"/>
  <c r="BL33" i="1"/>
  <c r="BN33" i="1"/>
  <c r="BK34" i="1"/>
  <c r="BG34" i="1"/>
  <c r="AN34" i="1"/>
  <c r="BL34" i="1"/>
  <c r="BN34" i="1"/>
  <c r="BK35" i="1"/>
  <c r="AN35" i="1"/>
  <c r="BL35" i="1"/>
  <c r="BN35" i="1"/>
  <c r="BW38" i="1"/>
  <c r="CR38" i="1"/>
  <c r="BM38" i="1"/>
  <c r="BO38" i="1"/>
  <c r="CZ38" i="1"/>
  <c r="CQ38" i="1"/>
  <c r="AP29" i="1"/>
  <c r="BF31" i="1"/>
  <c r="BJ31" i="1"/>
  <c r="AN32" i="1"/>
  <c r="BL32" i="1"/>
  <c r="BN32" i="1"/>
  <c r="BW39" i="1"/>
  <c r="BM40" i="1"/>
  <c r="BO40" i="1"/>
  <c r="CZ40" i="1"/>
  <c r="CQ40" i="1"/>
  <c r="DI40" i="1"/>
  <c r="CH40" i="1"/>
  <c r="AR41" i="1"/>
  <c r="BV41" i="1"/>
  <c r="CI41" i="1"/>
  <c r="BW43" i="1"/>
  <c r="DI44" i="1"/>
  <c r="CH44" i="1"/>
  <c r="BW46" i="1"/>
  <c r="CR46" i="1"/>
  <c r="CS46" i="1"/>
  <c r="BM46" i="1"/>
  <c r="BO46" i="1"/>
  <c r="CQ46" i="1"/>
  <c r="CZ46" i="1"/>
  <c r="CH46" i="1"/>
  <c r="BF29" i="1"/>
  <c r="BF30" i="1"/>
  <c r="M34" i="1"/>
  <c r="N34" i="1"/>
  <c r="AP35" i="1"/>
  <c r="BD36" i="1"/>
  <c r="BM36" i="1"/>
  <c r="BO36" i="1"/>
  <c r="CZ36" i="1"/>
  <c r="CQ36" i="1"/>
  <c r="DI37" i="1"/>
  <c r="CH37" i="1"/>
  <c r="AP38" i="1"/>
  <c r="M38" i="1"/>
  <c r="N38" i="1"/>
  <c r="BK38" i="1"/>
  <c r="BG38" i="1"/>
  <c r="AN38" i="1"/>
  <c r="BL38" i="1"/>
  <c r="BN38" i="1"/>
  <c r="DI41" i="1"/>
  <c r="CH41" i="1"/>
  <c r="AR42" i="1"/>
  <c r="BV42" i="1"/>
  <c r="CI42" i="1"/>
  <c r="BG42" i="1"/>
  <c r="BJ42" i="1"/>
  <c r="BF42" i="1"/>
  <c r="AS42" i="1"/>
  <c r="AS44" i="1"/>
  <c r="DI47" i="1"/>
  <c r="CH47" i="1"/>
  <c r="BL48" i="1"/>
  <c r="BN48" i="1"/>
  <c r="BD48" i="1"/>
  <c r="M51" i="1"/>
  <c r="N51" i="1"/>
  <c r="AP51" i="1"/>
  <c r="AR54" i="1"/>
  <c r="BV54" i="1"/>
  <c r="CI54" i="1"/>
  <c r="DI54" i="1"/>
  <c r="CH54" i="1"/>
  <c r="AP37" i="1"/>
  <c r="BM37" i="1"/>
  <c r="BO37" i="1"/>
  <c r="BJ39" i="1"/>
  <c r="BG43" i="1"/>
  <c r="BJ43" i="1"/>
  <c r="M45" i="1"/>
  <c r="N45" i="1"/>
  <c r="AP45" i="1"/>
  <c r="CH45" i="1"/>
  <c r="CQ45" i="1"/>
  <c r="AP46" i="1"/>
  <c r="M46" i="1"/>
  <c r="N46" i="1"/>
  <c r="M40" i="1"/>
  <c r="N40" i="1"/>
  <c r="AP40" i="1"/>
  <c r="AS40" i="1"/>
  <c r="M41" i="1"/>
  <c r="N41" i="1"/>
  <c r="AC41" i="1"/>
  <c r="AD39" i="1"/>
  <c r="AE39" i="1"/>
  <c r="BG41" i="1"/>
  <c r="BJ41" i="1"/>
  <c r="BF41" i="1"/>
  <c r="AS41" i="1"/>
  <c r="BK43" i="1"/>
  <c r="BL43" i="1"/>
  <c r="BN43" i="1"/>
  <c r="BM45" i="1"/>
  <c r="BO45" i="1"/>
  <c r="BV50" i="1"/>
  <c r="CI50" i="1"/>
  <c r="CJ50" i="1"/>
  <c r="DI50" i="1"/>
  <c r="CH50" i="1"/>
  <c r="BW52" i="1"/>
  <c r="DI52" i="1"/>
  <c r="BL50" i="1"/>
  <c r="BN50" i="1"/>
  <c r="BD50" i="1"/>
  <c r="BW51" i="1"/>
  <c r="BV53" i="1"/>
  <c r="CI53" i="1"/>
  <c r="BF40" i="1"/>
  <c r="AN41" i="1"/>
  <c r="BL41" i="1"/>
  <c r="BN41" i="1"/>
  <c r="AN42" i="1"/>
  <c r="BL42" i="1"/>
  <c r="BN42" i="1"/>
  <c r="BF45" i="1"/>
  <c r="BF46" i="1"/>
  <c r="DI48" i="1"/>
  <c r="CH48" i="1"/>
  <c r="M49" i="1"/>
  <c r="N49" i="1"/>
  <c r="AP49" i="1"/>
  <c r="AS49" i="1"/>
  <c r="AS50" i="1"/>
  <c r="CZ50" i="1"/>
  <c r="BG53" i="1"/>
  <c r="BJ53" i="1"/>
  <c r="BF53" i="1"/>
  <c r="AP48" i="1"/>
  <c r="AS48" i="1"/>
  <c r="BM48" i="1"/>
  <c r="BO48" i="1"/>
  <c r="BF49" i="1"/>
  <c r="BJ49" i="1"/>
  <c r="BM50" i="1"/>
  <c r="BO50" i="1"/>
  <c r="BF51" i="1"/>
  <c r="BJ51" i="1"/>
  <c r="M52" i="1"/>
  <c r="N52" i="1"/>
  <c r="AP52" i="1"/>
  <c r="BW53" i="1"/>
  <c r="DI53" i="1"/>
  <c r="CH53" i="1"/>
  <c r="BW54" i="1"/>
  <c r="AS54" i="1"/>
  <c r="M55" i="1"/>
  <c r="N55" i="1"/>
  <c r="AP55" i="1"/>
  <c r="DI51" i="1"/>
  <c r="BF52" i="1"/>
  <c r="BJ52" i="1"/>
  <c r="AN53" i="1"/>
  <c r="BL53" i="1"/>
  <c r="BN53" i="1"/>
  <c r="BF54" i="1"/>
  <c r="BJ54" i="1"/>
  <c r="BG55" i="1"/>
  <c r="BJ55" i="1"/>
  <c r="BF55" i="1"/>
  <c r="BW55" i="1"/>
  <c r="AD71" i="1"/>
  <c r="AE71" i="1"/>
  <c r="AN54" i="1"/>
  <c r="DI55" i="1"/>
  <c r="AC121" i="1"/>
  <c r="AD119" i="1"/>
  <c r="AE119" i="1"/>
  <c r="AD135" i="1"/>
  <c r="AE135" i="1"/>
  <c r="AC153" i="1"/>
  <c r="AD151" i="1"/>
  <c r="AE151" i="1"/>
  <c r="AN55" i="1"/>
  <c r="BL55" i="1"/>
  <c r="BN55" i="1"/>
  <c r="CJ44" i="1"/>
  <c r="CZ44" i="1"/>
  <c r="DA44" i="1"/>
  <c r="BM24" i="1"/>
  <c r="BO24" i="1"/>
  <c r="BD21" i="1"/>
  <c r="BE21" i="1"/>
  <c r="BH21" i="1"/>
  <c r="BI21" i="1"/>
  <c r="H19" i="2"/>
  <c r="BH49" i="1"/>
  <c r="BI49" i="1"/>
  <c r="H49" i="2"/>
  <c r="CK44" i="1"/>
  <c r="BD20" i="1"/>
  <c r="BE20" i="1"/>
  <c r="BD12" i="1"/>
  <c r="CR44" i="1"/>
  <c r="CS44" i="1"/>
  <c r="CR54" i="1"/>
  <c r="CS54" i="1"/>
  <c r="BH45" i="1"/>
  <c r="BI45" i="1"/>
  <c r="H45" i="2"/>
  <c r="BD37" i="1"/>
  <c r="BE37" i="1"/>
  <c r="BH37" i="1"/>
  <c r="BI37" i="1"/>
  <c r="H36" i="2"/>
  <c r="BM20" i="1"/>
  <c r="BO20" i="1"/>
  <c r="BV21" i="1"/>
  <c r="CI21" i="1"/>
  <c r="CJ21" i="1"/>
  <c r="CT48" i="1"/>
  <c r="AS21" i="1"/>
  <c r="AT21" i="1"/>
  <c r="AU21" i="1"/>
  <c r="AV21" i="1"/>
  <c r="AW21" i="1"/>
  <c r="AZ21" i="1"/>
  <c r="DU21" i="1"/>
  <c r="CK9" i="1"/>
  <c r="CK47" i="1"/>
  <c r="DI29" i="1"/>
  <c r="DJ29" i="1"/>
  <c r="CS29" i="1"/>
  <c r="BM44" i="1"/>
  <c r="BO44" i="1"/>
  <c r="BM23" i="1"/>
  <c r="BO23" i="1"/>
  <c r="CZ23" i="1"/>
  <c r="DA23" i="1"/>
  <c r="AY16" i="1"/>
  <c r="AT36" i="1"/>
  <c r="AU36" i="1"/>
  <c r="AV36" i="1"/>
  <c r="AW36" i="1"/>
  <c r="AX36" i="1"/>
  <c r="BI44" i="1"/>
  <c r="H44" i="2"/>
  <c r="CR23" i="1"/>
  <c r="CS23" i="1"/>
  <c r="CT50" i="1"/>
  <c r="DU43" i="1"/>
  <c r="AT50" i="1"/>
  <c r="AU50" i="1"/>
  <c r="AV50" i="1"/>
  <c r="AW50" i="1"/>
  <c r="AZ50" i="1"/>
  <c r="DU50" i="1"/>
  <c r="DJ50" i="1"/>
  <c r="DJ48" i="1"/>
  <c r="CS48" i="1"/>
  <c r="AS53" i="1"/>
  <c r="AT53" i="1"/>
  <c r="AU53" i="1"/>
  <c r="AV53" i="1"/>
  <c r="AW53" i="1"/>
  <c r="BD40" i="1"/>
  <c r="BE40" i="1"/>
  <c r="BL52" i="1"/>
  <c r="BN52" i="1"/>
  <c r="BD52" i="1"/>
  <c r="CJ47" i="1"/>
  <c r="CZ47" i="1"/>
  <c r="DA47" i="1"/>
  <c r="CT45" i="1"/>
  <c r="CQ47" i="1"/>
  <c r="DJ46" i="1"/>
  <c r="BM47" i="1"/>
  <c r="BO47" i="1"/>
  <c r="CH49" i="1"/>
  <c r="DI49" i="1"/>
  <c r="BD46" i="1"/>
  <c r="BE51" i="1"/>
  <c r="BH51" i="1"/>
  <c r="BI51" i="1"/>
  <c r="H51" i="2"/>
  <c r="AX47" i="1"/>
  <c r="DJ40" i="1"/>
  <c r="CR47" i="1"/>
  <c r="CS47" i="1"/>
  <c r="AT33" i="1"/>
  <c r="AU33" i="1"/>
  <c r="AV33" i="1"/>
  <c r="AW33" i="1"/>
  <c r="AY33" i="1"/>
  <c r="AT23" i="1"/>
  <c r="AU23" i="1"/>
  <c r="AV23" i="1"/>
  <c r="CT25" i="1"/>
  <c r="AT22" i="1"/>
  <c r="AU22" i="1"/>
  <c r="AV22" i="1"/>
  <c r="CI36" i="1"/>
  <c r="CJ36" i="1"/>
  <c r="BD31" i="1"/>
  <c r="BE31" i="1"/>
  <c r="BH31" i="1"/>
  <c r="BI31" i="1"/>
  <c r="H30" i="2"/>
  <c r="CT30" i="1"/>
  <c r="BD24" i="1"/>
  <c r="DJ37" i="1"/>
  <c r="CI22" i="1"/>
  <c r="CJ22" i="1"/>
  <c r="CT37" i="1"/>
  <c r="CR32" i="1"/>
  <c r="CS32" i="1"/>
  <c r="CR24" i="1"/>
  <c r="CS24" i="1"/>
  <c r="CS37" i="1"/>
  <c r="CS30" i="1"/>
  <c r="CT29" i="1"/>
  <c r="CZ24" i="1"/>
  <c r="CR26" i="1"/>
  <c r="CS26" i="1"/>
  <c r="DJ25" i="1"/>
  <c r="BD25" i="1"/>
  <c r="BD28" i="1"/>
  <c r="DI30" i="1"/>
  <c r="DJ30" i="1"/>
  <c r="AT27" i="1"/>
  <c r="AU27" i="1"/>
  <c r="AV27" i="1"/>
  <c r="AW27" i="1"/>
  <c r="AZ27" i="1"/>
  <c r="DU27" i="1"/>
  <c r="BD23" i="1"/>
  <c r="CI18" i="1"/>
  <c r="CJ18" i="1"/>
  <c r="CH11" i="1"/>
  <c r="DA11" i="1"/>
  <c r="AT17" i="1"/>
  <c r="AU17" i="1"/>
  <c r="AV17" i="1"/>
  <c r="AW17" i="1"/>
  <c r="AX17" i="1"/>
  <c r="BD9" i="1"/>
  <c r="BE9" i="1"/>
  <c r="BH9" i="1"/>
  <c r="BI9" i="1"/>
  <c r="H7" i="2"/>
  <c r="R9" i="2"/>
  <c r="BD5" i="1"/>
  <c r="BE5" i="1"/>
  <c r="BH5" i="1"/>
  <c r="BI5" i="1"/>
  <c r="H3" i="2"/>
  <c r="R3" i="2"/>
  <c r="CI14" i="1"/>
  <c r="CJ14" i="1"/>
  <c r="DJ16" i="1"/>
  <c r="AT18" i="1"/>
  <c r="AU18" i="1"/>
  <c r="AV18" i="1"/>
  <c r="AW18" i="1"/>
  <c r="AX18" i="1"/>
  <c r="AT16" i="1"/>
  <c r="AU16" i="1"/>
  <c r="AV16" i="1"/>
  <c r="CR20" i="1"/>
  <c r="CS20" i="1"/>
  <c r="BD19" i="1"/>
  <c r="BE19" i="1"/>
  <c r="BH19" i="1"/>
  <c r="BI19" i="1"/>
  <c r="H17" i="2"/>
  <c r="CT15" i="1"/>
  <c r="CS11" i="1"/>
  <c r="AT11" i="1"/>
  <c r="AU11" i="1"/>
  <c r="AV11" i="1"/>
  <c r="BD16" i="1"/>
  <c r="DA16" i="1"/>
  <c r="CR13" i="1"/>
  <c r="CS13" i="1"/>
  <c r="CR17" i="1"/>
  <c r="CS17" i="1"/>
  <c r="AZ16" i="1"/>
  <c r="DU16" i="1"/>
  <c r="DI11" i="1"/>
  <c r="DJ11" i="1"/>
  <c r="BD7" i="1"/>
  <c r="BD10" i="1"/>
  <c r="BE10" i="1"/>
  <c r="BH10" i="1"/>
  <c r="BI10" i="1"/>
  <c r="H8" i="2"/>
  <c r="DI15" i="1"/>
  <c r="DJ15" i="1"/>
  <c r="CH15" i="1"/>
  <c r="BD15" i="1"/>
  <c r="AT6" i="1"/>
  <c r="AU6" i="1"/>
  <c r="AV6" i="1"/>
  <c r="CS59" i="1"/>
  <c r="CT59" i="1"/>
  <c r="DJ59" i="1"/>
  <c r="BV58" i="1"/>
  <c r="CI58" i="1"/>
  <c r="BV59" i="1"/>
  <c r="CI59" i="1"/>
  <c r="BV56" i="1"/>
  <c r="CI56" i="1"/>
  <c r="CT58" i="1"/>
  <c r="CS58" i="1"/>
  <c r="DJ58" i="1"/>
  <c r="CS56" i="1"/>
  <c r="CT56" i="1"/>
  <c r="DJ56" i="1"/>
  <c r="BV57" i="1"/>
  <c r="CI57" i="1"/>
  <c r="CS57" i="1"/>
  <c r="DJ57" i="1"/>
  <c r="CT57" i="1"/>
  <c r="CR49" i="1"/>
  <c r="CS49" i="1"/>
  <c r="DA50" i="1"/>
  <c r="DA19" i="1"/>
  <c r="AT14" i="1"/>
  <c r="AU14" i="1"/>
  <c r="AV14" i="1"/>
  <c r="AW14" i="1"/>
  <c r="AY14" i="1"/>
  <c r="CT16" i="1"/>
  <c r="CT12" i="1"/>
  <c r="CS16" i="1"/>
  <c r="CJ9" i="1"/>
  <c r="DA9" i="1"/>
  <c r="BD55" i="1"/>
  <c r="BM52" i="1"/>
  <c r="BO52" i="1"/>
  <c r="CQ52" i="1"/>
  <c r="CZ52" i="1"/>
  <c r="AR55" i="1"/>
  <c r="BV55" i="1"/>
  <c r="CI55" i="1"/>
  <c r="CJ55" i="1"/>
  <c r="AS55" i="1"/>
  <c r="AR52" i="1"/>
  <c r="BV52" i="1"/>
  <c r="CI52" i="1"/>
  <c r="CJ52" i="1"/>
  <c r="CZ53" i="1"/>
  <c r="DA53" i="1"/>
  <c r="CQ53" i="1"/>
  <c r="CK53" i="1"/>
  <c r="CJ53" i="1"/>
  <c r="BM53" i="1"/>
  <c r="BO53" i="1"/>
  <c r="DI43" i="1"/>
  <c r="CH43" i="1"/>
  <c r="BV45" i="1"/>
  <c r="CI45" i="1"/>
  <c r="AR45" i="1"/>
  <c r="AS45" i="1"/>
  <c r="AT42" i="1"/>
  <c r="AU42" i="1"/>
  <c r="AV42" i="1"/>
  <c r="AW42" i="1"/>
  <c r="AR35" i="1"/>
  <c r="BV35" i="1"/>
  <c r="CI35" i="1"/>
  <c r="CJ35" i="1"/>
  <c r="DJ44" i="1"/>
  <c r="CR39" i="1"/>
  <c r="BM31" i="1"/>
  <c r="BO31" i="1"/>
  <c r="CQ31" i="1"/>
  <c r="CZ31" i="1"/>
  <c r="BE30" i="1"/>
  <c r="BH30" i="1"/>
  <c r="BI30" i="1"/>
  <c r="H29" i="2"/>
  <c r="R26" i="2"/>
  <c r="BE29" i="1"/>
  <c r="BH29" i="1"/>
  <c r="BI29" i="1"/>
  <c r="H28" i="2"/>
  <c r="BD33" i="1"/>
  <c r="BD32" i="1"/>
  <c r="BD35" i="1"/>
  <c r="DI13" i="1"/>
  <c r="CH13" i="1"/>
  <c r="AY23" i="1"/>
  <c r="AX23" i="1"/>
  <c r="AZ23" i="1"/>
  <c r="DU23" i="1"/>
  <c r="BD22" i="1"/>
  <c r="CT19" i="1"/>
  <c r="BV15" i="1"/>
  <c r="CI15" i="1"/>
  <c r="AR15" i="1"/>
  <c r="AW15" i="1"/>
  <c r="CZ13" i="1"/>
  <c r="CQ13" i="1"/>
  <c r="BM13" i="1"/>
  <c r="BO13" i="1"/>
  <c r="BD13" i="1"/>
  <c r="BD26" i="1"/>
  <c r="DI18" i="1"/>
  <c r="DJ18" i="1"/>
  <c r="CH18" i="1"/>
  <c r="CT18" i="1"/>
  <c r="CS18" i="1"/>
  <c r="AY11" i="1"/>
  <c r="AX11" i="1"/>
  <c r="AZ11" i="1"/>
  <c r="DU11" i="1"/>
  <c r="CZ21" i="1"/>
  <c r="CQ21" i="1"/>
  <c r="BM21" i="1"/>
  <c r="BO21" i="1"/>
  <c r="BV20" i="1"/>
  <c r="CI20" i="1"/>
  <c r="CJ20" i="1"/>
  <c r="AR20" i="1"/>
  <c r="AT20" i="1"/>
  <c r="AU20" i="1"/>
  <c r="AV20" i="1"/>
  <c r="AW20" i="1"/>
  <c r="CK16" i="1"/>
  <c r="CI13" i="1"/>
  <c r="BD8" i="1"/>
  <c r="AZ6" i="1"/>
  <c r="DU6" i="1"/>
  <c r="AY6" i="1"/>
  <c r="AX6" i="1"/>
  <c r="CR7" i="1"/>
  <c r="CS7" i="1"/>
  <c r="AX8" i="1"/>
  <c r="AZ8" i="1"/>
  <c r="DU8" i="1"/>
  <c r="AY8" i="1"/>
  <c r="CR6" i="1"/>
  <c r="CS6" i="1"/>
  <c r="DJ9" i="1"/>
  <c r="BL54" i="1"/>
  <c r="BN54" i="1"/>
  <c r="BD54" i="1"/>
  <c r="BM55" i="1"/>
  <c r="BO55" i="1"/>
  <c r="CQ55" i="1"/>
  <c r="CZ55" i="1"/>
  <c r="CR55" i="1"/>
  <c r="CS55" i="1"/>
  <c r="CZ54" i="1"/>
  <c r="DA54" i="1"/>
  <c r="CK54" i="1"/>
  <c r="CJ54" i="1"/>
  <c r="BM54" i="1"/>
  <c r="BO54" i="1"/>
  <c r="CQ54" i="1"/>
  <c r="CR53" i="1"/>
  <c r="CS53" i="1"/>
  <c r="BV48" i="1"/>
  <c r="CI48" i="1"/>
  <c r="CK48" i="1"/>
  <c r="AR48" i="1"/>
  <c r="AT48" i="1"/>
  <c r="AU48" i="1"/>
  <c r="AV48" i="1"/>
  <c r="AW48" i="1"/>
  <c r="BE50" i="1"/>
  <c r="BH50" i="1"/>
  <c r="BI50" i="1"/>
  <c r="H50" i="2"/>
  <c r="CK41" i="1"/>
  <c r="CJ41" i="1"/>
  <c r="CZ41" i="1"/>
  <c r="DA41" i="1"/>
  <c r="CQ41" i="1"/>
  <c r="BM41" i="1"/>
  <c r="BO41" i="1"/>
  <c r="BV46" i="1"/>
  <c r="CI46" i="1"/>
  <c r="CJ46" i="1"/>
  <c r="AR46" i="1"/>
  <c r="BV37" i="1"/>
  <c r="CI37" i="1"/>
  <c r="CK37" i="1"/>
  <c r="AR37" i="1"/>
  <c r="AT54" i="1"/>
  <c r="AU54" i="1"/>
  <c r="AV54" i="1"/>
  <c r="AW54" i="1"/>
  <c r="CK42" i="1"/>
  <c r="CJ42" i="1"/>
  <c r="CZ42" i="1"/>
  <c r="DA42" i="1"/>
  <c r="CQ42" i="1"/>
  <c r="BM42" i="1"/>
  <c r="BO42" i="1"/>
  <c r="CR42" i="1"/>
  <c r="DI38" i="1"/>
  <c r="DJ38" i="1"/>
  <c r="CH38" i="1"/>
  <c r="CT38" i="1"/>
  <c r="CS38" i="1"/>
  <c r="AS37" i="1"/>
  <c r="AS46" i="1"/>
  <c r="CR43" i="1"/>
  <c r="CS43" i="1"/>
  <c r="AT41" i="1"/>
  <c r="AU41" i="1"/>
  <c r="AV41" i="1"/>
  <c r="AW41" i="1"/>
  <c r="BD38" i="1"/>
  <c r="DI33" i="1"/>
  <c r="DJ33" i="1"/>
  <c r="CH33" i="1"/>
  <c r="CT33" i="1"/>
  <c r="CS33" i="1"/>
  <c r="DI36" i="1"/>
  <c r="DJ36" i="1"/>
  <c r="CH36" i="1"/>
  <c r="CT36" i="1"/>
  <c r="CS36" i="1"/>
  <c r="AX22" i="1"/>
  <c r="AZ22" i="1"/>
  <c r="DU22" i="1"/>
  <c r="AY22" i="1"/>
  <c r="AW28" i="1"/>
  <c r="AR28" i="1"/>
  <c r="AT28" i="1"/>
  <c r="AU28" i="1"/>
  <c r="AV28" i="1"/>
  <c r="BV28" i="1"/>
  <c r="CI28" i="1"/>
  <c r="CJ28" i="1"/>
  <c r="CI34" i="1"/>
  <c r="CJ34" i="1"/>
  <c r="BE27" i="1"/>
  <c r="BH27" i="1"/>
  <c r="BI27" i="1"/>
  <c r="H26" i="2"/>
  <c r="CR41" i="1"/>
  <c r="CS41" i="1"/>
  <c r="CI27" i="1"/>
  <c r="CJ27" i="1"/>
  <c r="CK19" i="1"/>
  <c r="CZ26" i="1"/>
  <c r="DA26" i="1"/>
  <c r="CQ26" i="1"/>
  <c r="CK26" i="1"/>
  <c r="BM26" i="1"/>
  <c r="BO26" i="1"/>
  <c r="CJ26" i="1"/>
  <c r="AT19" i="1"/>
  <c r="AU19" i="1"/>
  <c r="AV19" i="1"/>
  <c r="AW19" i="1"/>
  <c r="AY19" i="1"/>
  <c r="BE14" i="1"/>
  <c r="BH14" i="1"/>
  <c r="BI14" i="1"/>
  <c r="H12" i="2"/>
  <c r="CK23" i="1"/>
  <c r="CZ17" i="1"/>
  <c r="DA17" i="1"/>
  <c r="CQ17" i="1"/>
  <c r="CK17" i="1"/>
  <c r="CJ17" i="1"/>
  <c r="BM17" i="1"/>
  <c r="BO17" i="1"/>
  <c r="AY9" i="1"/>
  <c r="AX9" i="1"/>
  <c r="AZ9" i="1"/>
  <c r="DU9" i="1"/>
  <c r="CZ6" i="1"/>
  <c r="DA6" i="1"/>
  <c r="CQ6" i="1"/>
  <c r="CK6" i="1"/>
  <c r="CJ6" i="1"/>
  <c r="BM6" i="1"/>
  <c r="BO6" i="1"/>
  <c r="AT13" i="1"/>
  <c r="AU13" i="1"/>
  <c r="AV13" i="1"/>
  <c r="AW13" i="1"/>
  <c r="AX13" i="1"/>
  <c r="CT11" i="1"/>
  <c r="BM8" i="1"/>
  <c r="BO8" i="1"/>
  <c r="CZ8" i="1"/>
  <c r="DA8" i="1"/>
  <c r="CQ8" i="1"/>
  <c r="CK8" i="1"/>
  <c r="CJ8" i="1"/>
  <c r="CR8" i="1"/>
  <c r="CS8" i="1"/>
  <c r="AT10" i="1"/>
  <c r="AU10" i="1"/>
  <c r="AV10" i="1"/>
  <c r="AW10" i="1"/>
  <c r="AY10" i="1"/>
  <c r="BD6" i="1"/>
  <c r="CZ51" i="1"/>
  <c r="CQ51" i="1"/>
  <c r="BM51" i="1"/>
  <c r="BO51" i="1"/>
  <c r="BM49" i="1"/>
  <c r="BO49" i="1"/>
  <c r="CQ49" i="1"/>
  <c r="CZ49" i="1"/>
  <c r="BD53" i="1"/>
  <c r="AS52" i="1"/>
  <c r="CK50" i="1"/>
  <c r="BD41" i="1"/>
  <c r="CZ39" i="1"/>
  <c r="CQ39" i="1"/>
  <c r="BM39" i="1"/>
  <c r="BO39" i="1"/>
  <c r="BE48" i="1"/>
  <c r="BH48" i="1"/>
  <c r="BI48" i="1"/>
  <c r="H48" i="2"/>
  <c r="BD42" i="1"/>
  <c r="BV39" i="1"/>
  <c r="CI39" i="1"/>
  <c r="CK39" i="1"/>
  <c r="CT46" i="1"/>
  <c r="BV29" i="1"/>
  <c r="CI29" i="1"/>
  <c r="CJ29" i="1"/>
  <c r="AR29" i="1"/>
  <c r="DI35" i="1"/>
  <c r="CH35" i="1"/>
  <c r="CS34" i="1"/>
  <c r="CT34" i="1"/>
  <c r="DI34" i="1"/>
  <c r="DJ34" i="1"/>
  <c r="CH34" i="1"/>
  <c r="AR31" i="1"/>
  <c r="BV31" i="1"/>
  <c r="CI31" i="1"/>
  <c r="CK31" i="1"/>
  <c r="AS31" i="1"/>
  <c r="CZ35" i="1"/>
  <c r="CQ35" i="1"/>
  <c r="BM35" i="1"/>
  <c r="BO35" i="1"/>
  <c r="CZ32" i="1"/>
  <c r="DA32" i="1"/>
  <c r="CQ32" i="1"/>
  <c r="CK32" i="1"/>
  <c r="CJ32" i="1"/>
  <c r="BM32" i="1"/>
  <c r="BO32" i="1"/>
  <c r="AT32" i="1"/>
  <c r="AU32" i="1"/>
  <c r="AV32" i="1"/>
  <c r="AW32" i="1"/>
  <c r="DI27" i="1"/>
  <c r="DJ27" i="1"/>
  <c r="CH27" i="1"/>
  <c r="CT27" i="1"/>
  <c r="CS27" i="1"/>
  <c r="AT34" i="1"/>
  <c r="AU34" i="1"/>
  <c r="AV34" i="1"/>
  <c r="AW34" i="1"/>
  <c r="AZ34" i="1"/>
  <c r="DU34" i="1"/>
  <c r="BV12" i="1"/>
  <c r="CI12" i="1"/>
  <c r="CJ12" i="1"/>
  <c r="AW12" i="1"/>
  <c r="AR12" i="1"/>
  <c r="AT12" i="1"/>
  <c r="AU12" i="1"/>
  <c r="AV12" i="1"/>
  <c r="CR35" i="1"/>
  <c r="CS35" i="1"/>
  <c r="DJ19" i="1"/>
  <c r="DI14" i="1"/>
  <c r="DJ14" i="1"/>
  <c r="CH14" i="1"/>
  <c r="CT14" i="1"/>
  <c r="CS14" i="1"/>
  <c r="BE12" i="1"/>
  <c r="BH12" i="1"/>
  <c r="BI12" i="1"/>
  <c r="H10" i="2"/>
  <c r="CI33" i="1"/>
  <c r="CJ33" i="1"/>
  <c r="DJ23" i="1"/>
  <c r="BM5" i="1"/>
  <c r="BO5" i="1"/>
  <c r="CZ5" i="1"/>
  <c r="CQ5" i="1"/>
  <c r="DJ12" i="1"/>
  <c r="DI10" i="1"/>
  <c r="CH10" i="1"/>
  <c r="CQ10" i="1"/>
  <c r="BM10" i="1"/>
  <c r="BO10" i="1"/>
  <c r="CZ10" i="1"/>
  <c r="AT9" i="1"/>
  <c r="AU9" i="1"/>
  <c r="AV9" i="1"/>
  <c r="AT7" i="1"/>
  <c r="AU7" i="1"/>
  <c r="AV7" i="1"/>
  <c r="AW7" i="1"/>
  <c r="AZ7" i="1"/>
  <c r="DU7" i="1"/>
  <c r="AR49" i="1"/>
  <c r="AT49" i="1"/>
  <c r="AU49" i="1"/>
  <c r="AV49" i="1"/>
  <c r="AW49" i="1"/>
  <c r="BV49" i="1"/>
  <c r="CI49" i="1"/>
  <c r="CJ49" i="1"/>
  <c r="CR51" i="1"/>
  <c r="CS51" i="1"/>
  <c r="CR52" i="1"/>
  <c r="CS52" i="1"/>
  <c r="BV40" i="1"/>
  <c r="CI40" i="1"/>
  <c r="DA40" i="1"/>
  <c r="AR40" i="1"/>
  <c r="AT40" i="1"/>
  <c r="AU40" i="1"/>
  <c r="AV40" i="1"/>
  <c r="AW40" i="1"/>
  <c r="CZ43" i="1"/>
  <c r="CQ43" i="1"/>
  <c r="BM43" i="1"/>
  <c r="BO43" i="1"/>
  <c r="AR51" i="1"/>
  <c r="BV51" i="1"/>
  <c r="CI51" i="1"/>
  <c r="CK51" i="1"/>
  <c r="AS51" i="1"/>
  <c r="AR38" i="1"/>
  <c r="BV38" i="1"/>
  <c r="CI38" i="1"/>
  <c r="CJ38" i="1"/>
  <c r="BE36" i="1"/>
  <c r="BH36" i="1"/>
  <c r="BI36" i="1"/>
  <c r="H35" i="2"/>
  <c r="CT40" i="1"/>
  <c r="AS38" i="1"/>
  <c r="DJ45" i="1"/>
  <c r="BV30" i="1"/>
  <c r="CI30" i="1"/>
  <c r="CJ30" i="1"/>
  <c r="AR30" i="1"/>
  <c r="AT30" i="1"/>
  <c r="AU30" i="1"/>
  <c r="AV30" i="1"/>
  <c r="AW30" i="1"/>
  <c r="AT44" i="1"/>
  <c r="AU44" i="1"/>
  <c r="AV44" i="1"/>
  <c r="AW44" i="1"/>
  <c r="CI43" i="1"/>
  <c r="BD34" i="1"/>
  <c r="AS29" i="1"/>
  <c r="CR31" i="1"/>
  <c r="DI22" i="1"/>
  <c r="DJ22" i="1"/>
  <c r="CH22" i="1"/>
  <c r="CT22" i="1"/>
  <c r="CS22" i="1"/>
  <c r="AS35" i="1"/>
  <c r="BV24" i="1"/>
  <c r="CI24" i="1"/>
  <c r="CJ24" i="1"/>
  <c r="AR24" i="1"/>
  <c r="AT24" i="1"/>
  <c r="AU24" i="1"/>
  <c r="AV24" i="1"/>
  <c r="AW24" i="1"/>
  <c r="BE11" i="1"/>
  <c r="BH11" i="1"/>
  <c r="BI11" i="1"/>
  <c r="H9" i="2"/>
  <c r="DI28" i="1"/>
  <c r="DJ28" i="1"/>
  <c r="CH28" i="1"/>
  <c r="CT28" i="1"/>
  <c r="CS28" i="1"/>
  <c r="AT26" i="1"/>
  <c r="AU26" i="1"/>
  <c r="AV26" i="1"/>
  <c r="AW26" i="1"/>
  <c r="AR25" i="1"/>
  <c r="AT25" i="1"/>
  <c r="AU25" i="1"/>
  <c r="AV25" i="1"/>
  <c r="AW25" i="1"/>
  <c r="BV25" i="1"/>
  <c r="CI25" i="1"/>
  <c r="CR21" i="1"/>
  <c r="CS21" i="1"/>
  <c r="BD18" i="1"/>
  <c r="BD17" i="1"/>
  <c r="AS15" i="1"/>
  <c r="AR5" i="1"/>
  <c r="AT5" i="1"/>
  <c r="AU5" i="1"/>
  <c r="AV5" i="1"/>
  <c r="BV5" i="1"/>
  <c r="CI5" i="1"/>
  <c r="CK5" i="1"/>
  <c r="AW5" i="1"/>
  <c r="CR10" i="1"/>
  <c r="CS10" i="1"/>
  <c r="BM7" i="1"/>
  <c r="BO7" i="1"/>
  <c r="CZ7" i="1"/>
  <c r="DA7" i="1"/>
  <c r="CQ7" i="1"/>
  <c r="CK7" i="1"/>
  <c r="CJ7" i="1"/>
  <c r="CR5" i="1"/>
  <c r="CS5" i="1"/>
  <c r="AT8" i="1"/>
  <c r="AU8" i="1"/>
  <c r="AV8" i="1"/>
  <c r="CI10" i="1"/>
  <c r="CJ10" i="1"/>
  <c r="CT9" i="1"/>
  <c r="CK21" i="1"/>
  <c r="BH20" i="1"/>
  <c r="BI20" i="1"/>
  <c r="H18" i="2"/>
  <c r="BE47" i="1"/>
  <c r="CT44" i="1"/>
  <c r="AY50" i="1"/>
  <c r="AZ36" i="1"/>
  <c r="DA21" i="1"/>
  <c r="DA36" i="1"/>
  <c r="DJ54" i="1"/>
  <c r="AZ33" i="1"/>
  <c r="CT20" i="1"/>
  <c r="AY36" i="1"/>
  <c r="CK43" i="1"/>
  <c r="E14" i="2"/>
  <c r="CK11" i="1"/>
  <c r="DA18" i="1"/>
  <c r="AX33" i="1"/>
  <c r="CT23" i="1"/>
  <c r="CG16" i="1"/>
  <c r="CV16" i="1"/>
  <c r="BH40" i="1"/>
  <c r="BI40" i="1"/>
  <c r="H40" i="2"/>
  <c r="AX50" i="1"/>
  <c r="AX43" i="1"/>
  <c r="AY43" i="1"/>
  <c r="AY47" i="1"/>
  <c r="DJ47" i="1"/>
  <c r="CT47" i="1"/>
  <c r="DJ41" i="1"/>
  <c r="BE52" i="1"/>
  <c r="BH52" i="1"/>
  <c r="BI52" i="1"/>
  <c r="H52" i="2"/>
  <c r="AT46" i="1"/>
  <c r="AU46" i="1"/>
  <c r="AV46" i="1"/>
  <c r="AW46" i="1"/>
  <c r="AX46" i="1"/>
  <c r="DA55" i="1"/>
  <c r="CK55" i="1"/>
  <c r="BE46" i="1"/>
  <c r="BH46" i="1"/>
  <c r="BI46" i="1"/>
  <c r="H46" i="2"/>
  <c r="AX34" i="1"/>
  <c r="CK29" i="1"/>
  <c r="AX27" i="1"/>
  <c r="CK35" i="1"/>
  <c r="DJ32" i="1"/>
  <c r="AY34" i="1"/>
  <c r="AY27" i="1"/>
  <c r="DA35" i="1"/>
  <c r="DA27" i="1"/>
  <c r="BH24" i="1"/>
  <c r="BI24" i="1"/>
  <c r="H23" i="2"/>
  <c r="BE24" i="1"/>
  <c r="BE28" i="1"/>
  <c r="BH28" i="1"/>
  <c r="BI28" i="1"/>
  <c r="H27" i="2"/>
  <c r="DJ26" i="1"/>
  <c r="BE23" i="1"/>
  <c r="BH23" i="1"/>
  <c r="BI23" i="1"/>
  <c r="H22" i="2"/>
  <c r="R22" i="2"/>
  <c r="DJ24" i="1"/>
  <c r="BE25" i="1"/>
  <c r="BH25" i="1"/>
  <c r="BI25" i="1"/>
  <c r="H24" i="2"/>
  <c r="CT24" i="1"/>
  <c r="DJ20" i="1"/>
  <c r="DA14" i="1"/>
  <c r="AX10" i="1"/>
  <c r="DJ17" i="1"/>
  <c r="AY18" i="1"/>
  <c r="DJ7" i="1"/>
  <c r="AZ17" i="1"/>
  <c r="AZ10" i="1"/>
  <c r="DU10" i="1"/>
  <c r="AZ13" i="1"/>
  <c r="AZ18" i="1"/>
  <c r="AY17" i="1"/>
  <c r="CK13" i="1"/>
  <c r="BE15" i="1"/>
  <c r="BH15" i="1"/>
  <c r="BI15" i="1"/>
  <c r="H13" i="2"/>
  <c r="BE7" i="1"/>
  <c r="BH7" i="1"/>
  <c r="BI7" i="1"/>
  <c r="H5" i="2"/>
  <c r="CK12" i="1"/>
  <c r="BE16" i="1"/>
  <c r="BH16" i="1"/>
  <c r="BI16" i="1"/>
  <c r="H14" i="2"/>
  <c r="AX58" i="1"/>
  <c r="CJ39" i="1"/>
  <c r="AY13" i="1"/>
  <c r="AX14" i="1"/>
  <c r="AY7" i="1"/>
  <c r="AX7" i="1"/>
  <c r="AZ14" i="1"/>
  <c r="DU59" i="1"/>
  <c r="AY59" i="1"/>
  <c r="AX59" i="1"/>
  <c r="AY57" i="1"/>
  <c r="AX57" i="1"/>
  <c r="DU57" i="1"/>
  <c r="CJ59" i="1"/>
  <c r="CK59" i="1"/>
  <c r="DA59" i="1"/>
  <c r="AX56" i="1"/>
  <c r="AY56" i="1"/>
  <c r="DU56" i="1"/>
  <c r="CK57" i="1"/>
  <c r="CJ57" i="1"/>
  <c r="DA57" i="1"/>
  <c r="CJ56" i="1"/>
  <c r="CK56" i="1"/>
  <c r="DA56" i="1"/>
  <c r="CK58" i="1"/>
  <c r="CJ58" i="1"/>
  <c r="DA58" i="1"/>
  <c r="CT35" i="1"/>
  <c r="DA34" i="1"/>
  <c r="AX21" i="1"/>
  <c r="AZ19" i="1"/>
  <c r="DU19" i="1"/>
  <c r="CK20" i="1"/>
  <c r="AY21" i="1"/>
  <c r="AX19" i="1"/>
  <c r="DJ6" i="1"/>
  <c r="DA12" i="1"/>
  <c r="AZ49" i="1"/>
  <c r="DU49" i="1"/>
  <c r="AY49" i="1"/>
  <c r="AX49" i="1"/>
  <c r="AY30" i="1"/>
  <c r="AX30" i="1"/>
  <c r="AZ30" i="1"/>
  <c r="DU30" i="1"/>
  <c r="AY48" i="1"/>
  <c r="AX48" i="1"/>
  <c r="AZ48" i="1"/>
  <c r="DU48" i="1"/>
  <c r="E33" i="2"/>
  <c r="CG34" i="1"/>
  <c r="CM34" i="1"/>
  <c r="DA10" i="1"/>
  <c r="CT10" i="1"/>
  <c r="DA5" i="1"/>
  <c r="E19" i="2"/>
  <c r="CG21" i="1"/>
  <c r="BS21" i="1"/>
  <c r="CK27" i="1"/>
  <c r="DA30" i="1"/>
  <c r="DJ35" i="1"/>
  <c r="CT39" i="1"/>
  <c r="DA49" i="1"/>
  <c r="CK49" i="1"/>
  <c r="CT51" i="1"/>
  <c r="CT8" i="1"/>
  <c r="CT26" i="1"/>
  <c r="DJ42" i="1"/>
  <c r="CS42" i="1"/>
  <c r="AZ54" i="1"/>
  <c r="DU54" i="1"/>
  <c r="AY54" i="1"/>
  <c r="AX54" i="1"/>
  <c r="DA37" i="1"/>
  <c r="CJ37" i="1"/>
  <c r="CT54" i="1"/>
  <c r="E9" i="2"/>
  <c r="CG11" i="1"/>
  <c r="BE26" i="1"/>
  <c r="BH26" i="1"/>
  <c r="BI26" i="1"/>
  <c r="H25" i="2"/>
  <c r="R23" i="2"/>
  <c r="CJ13" i="1"/>
  <c r="BE22" i="1"/>
  <c r="BH22" i="1"/>
  <c r="BI22" i="1"/>
  <c r="H21" i="2"/>
  <c r="DA20" i="1"/>
  <c r="BE35" i="1"/>
  <c r="BH35" i="1"/>
  <c r="BI35" i="1"/>
  <c r="H34" i="2"/>
  <c r="BE32" i="1"/>
  <c r="BH32" i="1"/>
  <c r="BI32" i="1"/>
  <c r="H31" i="2"/>
  <c r="DA46" i="1"/>
  <c r="CK45" i="1"/>
  <c r="CJ45" i="1"/>
  <c r="DA45" i="1"/>
  <c r="DJ43" i="1"/>
  <c r="DJ53" i="1"/>
  <c r="CT52" i="1"/>
  <c r="CK52" i="1"/>
  <c r="E50" i="2"/>
  <c r="CG50" i="1"/>
  <c r="BE18" i="1"/>
  <c r="BH18" i="1"/>
  <c r="BI18" i="1"/>
  <c r="H16" i="2"/>
  <c r="E5" i="2"/>
  <c r="CG7" i="1"/>
  <c r="BS7" i="1"/>
  <c r="CT7" i="1"/>
  <c r="CJ25" i="1"/>
  <c r="DA25" i="1"/>
  <c r="CK25" i="1"/>
  <c r="DJ21" i="1"/>
  <c r="AY24" i="1"/>
  <c r="AX24" i="1"/>
  <c r="AZ24" i="1"/>
  <c r="DU24" i="1"/>
  <c r="CK22" i="1"/>
  <c r="BE34" i="1"/>
  <c r="BH34" i="1"/>
  <c r="BI34" i="1"/>
  <c r="H33" i="2"/>
  <c r="AT38" i="1"/>
  <c r="AU38" i="1"/>
  <c r="AV38" i="1"/>
  <c r="AW38" i="1"/>
  <c r="CJ43" i="1"/>
  <c r="AY40" i="1"/>
  <c r="AX40" i="1"/>
  <c r="AZ40" i="1"/>
  <c r="DU40" i="1"/>
  <c r="DJ52" i="1"/>
  <c r="CK10" i="1"/>
  <c r="AY12" i="1"/>
  <c r="AX12" i="1"/>
  <c r="AZ12" i="1"/>
  <c r="DU12" i="1"/>
  <c r="AX39" i="1"/>
  <c r="DA39" i="1"/>
  <c r="BE41" i="1"/>
  <c r="BH41" i="1"/>
  <c r="BI41" i="1"/>
  <c r="H41" i="2"/>
  <c r="CT49" i="1"/>
  <c r="DA51" i="1"/>
  <c r="CT6" i="1"/>
  <c r="CK24" i="1"/>
  <c r="CK30" i="1"/>
  <c r="AZ41" i="1"/>
  <c r="DU41" i="1"/>
  <c r="AY41" i="1"/>
  <c r="AX41" i="1"/>
  <c r="CK38" i="1"/>
  <c r="AT37" i="1"/>
  <c r="AU37" i="1"/>
  <c r="AV37" i="1"/>
  <c r="AW37" i="1"/>
  <c r="AY37" i="1"/>
  <c r="BE43" i="1"/>
  <c r="CJ48" i="1"/>
  <c r="DA48" i="1"/>
  <c r="DJ8" i="1"/>
  <c r="E6" i="2"/>
  <c r="O6" i="2"/>
  <c r="CG8" i="1"/>
  <c r="BQ8" i="1"/>
  <c r="CT21" i="1"/>
  <c r="DA13" i="1"/>
  <c r="DA15" i="1"/>
  <c r="CK15" i="1"/>
  <c r="CJ15" i="1"/>
  <c r="DJ13" i="1"/>
  <c r="BE33" i="1"/>
  <c r="BH33" i="1"/>
  <c r="BI33" i="1"/>
  <c r="H32" i="2"/>
  <c r="CJ31" i="1"/>
  <c r="AT55" i="1"/>
  <c r="AU55" i="1"/>
  <c r="AV55" i="1"/>
  <c r="AW55" i="1"/>
  <c r="BE55" i="1"/>
  <c r="BH55" i="1"/>
  <c r="BI55" i="1"/>
  <c r="H55" i="2"/>
  <c r="CG43" i="1"/>
  <c r="BQ43" i="1"/>
  <c r="AZ5" i="1"/>
  <c r="AY5" i="1"/>
  <c r="AX5" i="1"/>
  <c r="BE17" i="1"/>
  <c r="BH17" i="1"/>
  <c r="BI17" i="1"/>
  <c r="H15" i="2"/>
  <c r="CK28" i="1"/>
  <c r="CS31" i="1"/>
  <c r="DJ31" i="1"/>
  <c r="DA43" i="1"/>
  <c r="DJ5" i="1"/>
  <c r="CJ5" i="1"/>
  <c r="DA22" i="1"/>
  <c r="DA28" i="1"/>
  <c r="CT32" i="1"/>
  <c r="AT31" i="1"/>
  <c r="AU31" i="1"/>
  <c r="AV31" i="1"/>
  <c r="AW31" i="1"/>
  <c r="AZ31" i="1"/>
  <c r="DU31" i="1"/>
  <c r="AT29" i="1"/>
  <c r="AU29" i="1"/>
  <c r="AV29" i="1"/>
  <c r="AW29" i="1"/>
  <c r="AX29" i="1"/>
  <c r="BE42" i="1"/>
  <c r="BH42" i="1"/>
  <c r="BI42" i="1"/>
  <c r="H42" i="2"/>
  <c r="BH53" i="1"/>
  <c r="BI53" i="1"/>
  <c r="H53" i="2"/>
  <c r="BE53" i="1"/>
  <c r="CJ51" i="1"/>
  <c r="CT17" i="1"/>
  <c r="E26" i="2"/>
  <c r="CG27" i="1"/>
  <c r="CM27" i="1"/>
  <c r="BE38" i="1"/>
  <c r="BH38" i="1"/>
  <c r="BI38" i="1"/>
  <c r="H37" i="2"/>
  <c r="E4" i="2"/>
  <c r="CG6" i="1"/>
  <c r="AY20" i="1"/>
  <c r="AX20" i="1"/>
  <c r="AZ20" i="1"/>
  <c r="DU20" i="1"/>
  <c r="CK18" i="1"/>
  <c r="AY15" i="1"/>
  <c r="AX15" i="1"/>
  <c r="AZ15" i="1"/>
  <c r="DU15" i="1"/>
  <c r="E22" i="2"/>
  <c r="O22" i="2"/>
  <c r="CG23" i="1"/>
  <c r="DA24" i="1"/>
  <c r="DA31" i="1"/>
  <c r="AZ42" i="1"/>
  <c r="DU42" i="1"/>
  <c r="AY42" i="1"/>
  <c r="AX42" i="1"/>
  <c r="AT45" i="1"/>
  <c r="AU45" i="1"/>
  <c r="AV45" i="1"/>
  <c r="AW45" i="1"/>
  <c r="AY45" i="1"/>
  <c r="CT43" i="1"/>
  <c r="CT53" i="1"/>
  <c r="DA52" i="1"/>
  <c r="DJ49" i="1"/>
  <c r="AZ25" i="1"/>
  <c r="DU25" i="1"/>
  <c r="AY25" i="1"/>
  <c r="AX25" i="1"/>
  <c r="AZ26" i="1"/>
  <c r="DU26" i="1"/>
  <c r="AY26" i="1"/>
  <c r="AX26" i="1"/>
  <c r="AX44" i="1"/>
  <c r="AZ44" i="1"/>
  <c r="DU44" i="1"/>
  <c r="AY44" i="1"/>
  <c r="AT51" i="1"/>
  <c r="AU51" i="1"/>
  <c r="AV51" i="1"/>
  <c r="AW51" i="1"/>
  <c r="CJ40" i="1"/>
  <c r="CK40" i="1"/>
  <c r="DJ10" i="1"/>
  <c r="CT5" i="1"/>
  <c r="CK14" i="1"/>
  <c r="AZ32" i="1"/>
  <c r="DU32" i="1"/>
  <c r="AY32" i="1"/>
  <c r="AX32" i="1"/>
  <c r="CK34" i="1"/>
  <c r="BE6" i="1"/>
  <c r="BH6" i="1"/>
  <c r="BI6" i="1"/>
  <c r="H4" i="2"/>
  <c r="E7" i="2"/>
  <c r="O9" i="2"/>
  <c r="CG9" i="1"/>
  <c r="AX28" i="1"/>
  <c r="AZ28" i="1"/>
  <c r="DU28" i="1"/>
  <c r="AY28" i="1"/>
  <c r="E21" i="2"/>
  <c r="CG22" i="1"/>
  <c r="CM22" i="1"/>
  <c r="CK36" i="1"/>
  <c r="CK33" i="1"/>
  <c r="CT42" i="1"/>
  <c r="CT41" i="1"/>
  <c r="DJ51" i="1"/>
  <c r="DJ55" i="1"/>
  <c r="CT55" i="1"/>
  <c r="BE54" i="1"/>
  <c r="BH54" i="1"/>
  <c r="BI54" i="1"/>
  <c r="H54" i="2"/>
  <c r="BE8" i="1"/>
  <c r="BH8" i="1"/>
  <c r="BI8" i="1"/>
  <c r="H6" i="2"/>
  <c r="R6" i="2"/>
  <c r="BE13" i="1"/>
  <c r="BH13" i="1"/>
  <c r="BI13" i="1"/>
  <c r="H11" i="2"/>
  <c r="AT15" i="1"/>
  <c r="AU15" i="1"/>
  <c r="AV15" i="1"/>
  <c r="CT13" i="1"/>
  <c r="DA29" i="1"/>
  <c r="DA33" i="1"/>
  <c r="DA38" i="1"/>
  <c r="CT31" i="1"/>
  <c r="DJ39" i="1"/>
  <c r="CS39" i="1"/>
  <c r="AT35" i="1"/>
  <c r="AU35" i="1"/>
  <c r="AV35" i="1"/>
  <c r="AW35" i="1"/>
  <c r="AX35" i="1"/>
  <c r="AZ53" i="1"/>
  <c r="DU53" i="1"/>
  <c r="AY53" i="1"/>
  <c r="AX53" i="1"/>
  <c r="AT52" i="1"/>
  <c r="AU52" i="1"/>
  <c r="AV52" i="1"/>
  <c r="AW52" i="1"/>
  <c r="CK46" i="1"/>
  <c r="E11" i="2"/>
  <c r="DU13" i="1"/>
  <c r="E32" i="2"/>
  <c r="DU33" i="1"/>
  <c r="CG36" i="1"/>
  <c r="CM36" i="1"/>
  <c r="DU36" i="1"/>
  <c r="E15" i="2"/>
  <c r="DU17" i="1"/>
  <c r="CG18" i="1"/>
  <c r="CM18" i="1"/>
  <c r="DU18" i="1"/>
  <c r="CG14" i="1"/>
  <c r="CM14" i="1"/>
  <c r="DU14" i="1"/>
  <c r="DU47" i="1"/>
  <c r="E35" i="2"/>
  <c r="CG33" i="1"/>
  <c r="CM33" i="1"/>
  <c r="CB16" i="1"/>
  <c r="CC16" i="1"/>
  <c r="CD16" i="1"/>
  <c r="DK16" i="1"/>
  <c r="DL16" i="1"/>
  <c r="CG47" i="1"/>
  <c r="DB47" i="1"/>
  <c r="DC47" i="1"/>
  <c r="DD47" i="1"/>
  <c r="CG13" i="1"/>
  <c r="CV13" i="1"/>
  <c r="BQ16" i="1"/>
  <c r="CU16" i="1"/>
  <c r="CW16" i="1"/>
  <c r="CX16" i="1"/>
  <c r="CM16" i="1"/>
  <c r="DB16" i="1"/>
  <c r="DC16" i="1"/>
  <c r="DD16" i="1"/>
  <c r="DE16" i="1"/>
  <c r="DF16" i="1"/>
  <c r="DG16" i="1"/>
  <c r="BP16" i="1"/>
  <c r="CL16" i="1"/>
  <c r="BS16" i="1"/>
  <c r="BR16" i="1"/>
  <c r="AY58" i="1"/>
  <c r="AY39" i="1"/>
  <c r="CM43" i="1"/>
  <c r="AY46" i="1"/>
  <c r="AZ46" i="1"/>
  <c r="AX31" i="1"/>
  <c r="AY31" i="1"/>
  <c r="AY29" i="1"/>
  <c r="AZ35" i="1"/>
  <c r="DU35" i="1"/>
  <c r="AZ29" i="1"/>
  <c r="AY35" i="1"/>
  <c r="AZ37" i="1"/>
  <c r="DU37" i="1"/>
  <c r="AX37" i="1"/>
  <c r="CG10" i="1"/>
  <c r="CV10" i="1"/>
  <c r="E8" i="2"/>
  <c r="BQ21" i="1"/>
  <c r="BU21" i="1"/>
  <c r="BY21" i="1"/>
  <c r="CG17" i="1"/>
  <c r="CV17" i="1"/>
  <c r="E16" i="2"/>
  <c r="E17" i="2"/>
  <c r="CV21" i="1"/>
  <c r="E12" i="2"/>
  <c r="AZ45" i="1"/>
  <c r="AX45" i="1"/>
  <c r="BS8" i="1"/>
  <c r="BU8" i="1"/>
  <c r="BY8" i="1"/>
  <c r="CG56" i="1"/>
  <c r="CG57" i="1"/>
  <c r="CG59" i="1"/>
  <c r="CG19" i="1"/>
  <c r="CU19" i="1"/>
  <c r="E27" i="2"/>
  <c r="CG28" i="1"/>
  <c r="E53" i="2"/>
  <c r="CG53" i="1"/>
  <c r="CU36" i="1"/>
  <c r="CL36" i="1"/>
  <c r="CN36" i="1"/>
  <c r="CO36" i="1"/>
  <c r="DK36" i="1"/>
  <c r="DL36" i="1"/>
  <c r="DB36" i="1"/>
  <c r="DC36" i="1"/>
  <c r="DD36" i="1"/>
  <c r="CB36" i="1"/>
  <c r="BP36" i="1"/>
  <c r="BQ36" i="1"/>
  <c r="BR36" i="1"/>
  <c r="CV36" i="1"/>
  <c r="BS36" i="1"/>
  <c r="E30" i="2"/>
  <c r="CG31" i="1"/>
  <c r="E42" i="2"/>
  <c r="CG42" i="1"/>
  <c r="E13" i="2"/>
  <c r="CG15" i="1"/>
  <c r="CU6" i="1"/>
  <c r="CL6" i="1"/>
  <c r="DK6" i="1"/>
  <c r="DL6" i="1"/>
  <c r="DB6" i="1"/>
  <c r="DC6" i="1"/>
  <c r="DD6" i="1"/>
  <c r="BP6" i="1"/>
  <c r="CM6" i="1"/>
  <c r="BR6" i="1"/>
  <c r="CB6" i="1"/>
  <c r="CC6" i="1"/>
  <c r="CD6" i="1"/>
  <c r="CU8" i="1"/>
  <c r="CL8" i="1"/>
  <c r="DK8" i="1"/>
  <c r="DL8" i="1"/>
  <c r="DB8" i="1"/>
  <c r="DC8" i="1"/>
  <c r="DD8" i="1"/>
  <c r="CB8" i="1"/>
  <c r="CC8" i="1"/>
  <c r="CD8" i="1"/>
  <c r="BR8" i="1"/>
  <c r="CM8" i="1"/>
  <c r="BP8" i="1"/>
  <c r="CU47" i="1"/>
  <c r="BP47" i="1"/>
  <c r="BQ6" i="1"/>
  <c r="E10" i="2"/>
  <c r="CG12" i="1"/>
  <c r="DK50" i="1"/>
  <c r="DL50" i="1"/>
  <c r="DB50" i="1"/>
  <c r="DC50" i="1"/>
  <c r="DD50" i="1"/>
  <c r="CU50" i="1"/>
  <c r="CL50" i="1"/>
  <c r="CB50" i="1"/>
  <c r="CV50" i="1"/>
  <c r="BQ50" i="1"/>
  <c r="BP50" i="1"/>
  <c r="CM50" i="1"/>
  <c r="BS50" i="1"/>
  <c r="BR50" i="1"/>
  <c r="DB11" i="1"/>
  <c r="DC11" i="1"/>
  <c r="DD11" i="1"/>
  <c r="DK11" i="1"/>
  <c r="DL11" i="1"/>
  <c r="CU11" i="1"/>
  <c r="CL11" i="1"/>
  <c r="CB11" i="1"/>
  <c r="CC11" i="1"/>
  <c r="CD11" i="1"/>
  <c r="BR11" i="1"/>
  <c r="BP11" i="1"/>
  <c r="CV11" i="1"/>
  <c r="BQ11" i="1"/>
  <c r="CM11" i="1"/>
  <c r="BS11" i="1"/>
  <c r="CU21" i="1"/>
  <c r="CL21" i="1"/>
  <c r="DK21" i="1"/>
  <c r="DL21" i="1"/>
  <c r="DB21" i="1"/>
  <c r="DC21" i="1"/>
  <c r="DD21" i="1"/>
  <c r="BP21" i="1"/>
  <c r="BR21" i="1"/>
  <c r="CM21" i="1"/>
  <c r="CB21" i="1"/>
  <c r="E48" i="2"/>
  <c r="CG48" i="1"/>
  <c r="DK9" i="1"/>
  <c r="DL9" i="1"/>
  <c r="DB9" i="1"/>
  <c r="DC9" i="1"/>
  <c r="DD9" i="1"/>
  <c r="CU9" i="1"/>
  <c r="CL9" i="1"/>
  <c r="CB9" i="1"/>
  <c r="CC9" i="1"/>
  <c r="CD9" i="1"/>
  <c r="BR9" i="1"/>
  <c r="BP9" i="1"/>
  <c r="CV9" i="1"/>
  <c r="CM9" i="1"/>
  <c r="BQ9" i="1"/>
  <c r="BS9" i="1"/>
  <c r="E31" i="2"/>
  <c r="CG32" i="1"/>
  <c r="E44" i="2"/>
  <c r="CG44" i="1"/>
  <c r="DK23" i="1"/>
  <c r="DL23" i="1"/>
  <c r="DB23" i="1"/>
  <c r="DC23" i="1"/>
  <c r="DD23" i="1"/>
  <c r="CU23" i="1"/>
  <c r="CL23" i="1"/>
  <c r="BR23" i="1"/>
  <c r="BP23" i="1"/>
  <c r="CB23" i="1"/>
  <c r="CM23" i="1"/>
  <c r="BQ23" i="1"/>
  <c r="CV23" i="1"/>
  <c r="BS23" i="1"/>
  <c r="CU43" i="1"/>
  <c r="CL43" i="1"/>
  <c r="DK43" i="1"/>
  <c r="DL43" i="1"/>
  <c r="DB43" i="1"/>
  <c r="DC43" i="1"/>
  <c r="DD43" i="1"/>
  <c r="BP43" i="1"/>
  <c r="BR43" i="1"/>
  <c r="CB43" i="1"/>
  <c r="AZ55" i="1"/>
  <c r="DU55" i="1"/>
  <c r="AY55" i="1"/>
  <c r="AX55" i="1"/>
  <c r="BS6" i="1"/>
  <c r="CV43" i="1"/>
  <c r="E23" i="2"/>
  <c r="CG24" i="1"/>
  <c r="CU7" i="1"/>
  <c r="CL7" i="1"/>
  <c r="DK7" i="1"/>
  <c r="DL7" i="1"/>
  <c r="DB7" i="1"/>
  <c r="DC7" i="1"/>
  <c r="DD7" i="1"/>
  <c r="BP7" i="1"/>
  <c r="CB7" i="1"/>
  <c r="BR7" i="1"/>
  <c r="CM7" i="1"/>
  <c r="DK34" i="1"/>
  <c r="DL34" i="1"/>
  <c r="DB34" i="1"/>
  <c r="DC34" i="1"/>
  <c r="DD34" i="1"/>
  <c r="CU34" i="1"/>
  <c r="CL34" i="1"/>
  <c r="CN34" i="1"/>
  <c r="CO34" i="1"/>
  <c r="CV34" i="1"/>
  <c r="CB34" i="1"/>
  <c r="BP34" i="1"/>
  <c r="BQ34" i="1"/>
  <c r="BR34" i="1"/>
  <c r="BS34" i="1"/>
  <c r="BQ7" i="1"/>
  <c r="BU7" i="1"/>
  <c r="BY7" i="1"/>
  <c r="AZ52" i="1"/>
  <c r="DU52" i="1"/>
  <c r="AY52" i="1"/>
  <c r="AX52" i="1"/>
  <c r="E24" i="2"/>
  <c r="CG25" i="1"/>
  <c r="CU18" i="1"/>
  <c r="CL18" i="1"/>
  <c r="CN18" i="1"/>
  <c r="CO18" i="1"/>
  <c r="DB18" i="1"/>
  <c r="DC18" i="1"/>
  <c r="DD18" i="1"/>
  <c r="DK18" i="1"/>
  <c r="DL18" i="1"/>
  <c r="BS18" i="1"/>
  <c r="BR18" i="1"/>
  <c r="CV18" i="1"/>
  <c r="BQ18" i="1"/>
  <c r="CB18" i="1"/>
  <c r="BP18" i="1"/>
  <c r="CU27" i="1"/>
  <c r="CL27" i="1"/>
  <c r="CN27" i="1"/>
  <c r="CO27" i="1"/>
  <c r="DK27" i="1"/>
  <c r="DL27" i="1"/>
  <c r="DB27" i="1"/>
  <c r="DC27" i="1"/>
  <c r="DD27" i="1"/>
  <c r="BP27" i="1"/>
  <c r="BQ27" i="1"/>
  <c r="BR27" i="1"/>
  <c r="BS27" i="1"/>
  <c r="CB27" i="1"/>
  <c r="CV27" i="1"/>
  <c r="BS43" i="1"/>
  <c r="BU43" i="1"/>
  <c r="BY43" i="1"/>
  <c r="E3" i="2"/>
  <c r="O3" i="2"/>
  <c r="CG5" i="1"/>
  <c r="DU5" i="1"/>
  <c r="E41" i="2"/>
  <c r="CG41" i="1"/>
  <c r="E40" i="2"/>
  <c r="CG40" i="1"/>
  <c r="CV7" i="1"/>
  <c r="CV8" i="1"/>
  <c r="CU22" i="1"/>
  <c r="CL22" i="1"/>
  <c r="CN22" i="1"/>
  <c r="CO22" i="1"/>
  <c r="DK22" i="1"/>
  <c r="DL22" i="1"/>
  <c r="DB22" i="1"/>
  <c r="DC22" i="1"/>
  <c r="DD22" i="1"/>
  <c r="BP22" i="1"/>
  <c r="BQ22" i="1"/>
  <c r="BR22" i="1"/>
  <c r="BS22" i="1"/>
  <c r="CB22" i="1"/>
  <c r="CC22" i="1"/>
  <c r="CD22" i="1"/>
  <c r="CV22" i="1"/>
  <c r="AZ51" i="1"/>
  <c r="DU51" i="1"/>
  <c r="AY51" i="1"/>
  <c r="AX51" i="1"/>
  <c r="E25" i="2"/>
  <c r="O23" i="2"/>
  <c r="CG26" i="1"/>
  <c r="E18" i="2"/>
  <c r="CG20" i="1"/>
  <c r="E36" i="2"/>
  <c r="CV6" i="1"/>
  <c r="AX38" i="1"/>
  <c r="AZ38" i="1"/>
  <c r="DU38" i="1"/>
  <c r="AY38" i="1"/>
  <c r="CL14" i="1"/>
  <c r="CN14" i="1"/>
  <c r="CO14" i="1"/>
  <c r="DK14" i="1"/>
  <c r="DL14" i="1"/>
  <c r="BS14" i="1"/>
  <c r="BR14" i="1"/>
  <c r="BQ14" i="1"/>
  <c r="CG54" i="1"/>
  <c r="E54" i="2"/>
  <c r="E29" i="2"/>
  <c r="O26" i="2"/>
  <c r="CG30" i="1"/>
  <c r="E49" i="2"/>
  <c r="CG49" i="1"/>
  <c r="E28" i="2"/>
  <c r="DU29" i="1"/>
  <c r="BR33" i="1"/>
  <c r="DB13" i="1"/>
  <c r="DC13" i="1"/>
  <c r="DD13" i="1"/>
  <c r="E46" i="2"/>
  <c r="DU46" i="1"/>
  <c r="BP14" i="1"/>
  <c r="BT14" i="1"/>
  <c r="BX14" i="1"/>
  <c r="BZ14" i="1"/>
  <c r="CV33" i="1"/>
  <c r="CU33" i="1"/>
  <c r="CW33" i="1"/>
  <c r="CX33" i="1"/>
  <c r="CU13" i="1"/>
  <c r="CW13" i="1"/>
  <c r="CX13" i="1"/>
  <c r="CG58" i="1"/>
  <c r="CU58" i="1"/>
  <c r="DU58" i="1"/>
  <c r="CG45" i="1"/>
  <c r="DB45" i="1"/>
  <c r="DC45" i="1"/>
  <c r="DD45" i="1"/>
  <c r="DU45" i="1"/>
  <c r="CV14" i="1"/>
  <c r="CU14" i="1"/>
  <c r="CW14" i="1"/>
  <c r="CX14" i="1"/>
  <c r="CB14" i="1"/>
  <c r="DB14" i="1"/>
  <c r="DC14" i="1"/>
  <c r="DD14" i="1"/>
  <c r="CL33" i="1"/>
  <c r="CN33" i="1"/>
  <c r="CO33" i="1"/>
  <c r="BQ47" i="1"/>
  <c r="CG39" i="1"/>
  <c r="DB39" i="1"/>
  <c r="DC39" i="1"/>
  <c r="DD39" i="1"/>
  <c r="DU39" i="1"/>
  <c r="BQ33" i="1"/>
  <c r="DK33" i="1"/>
  <c r="DL33" i="1"/>
  <c r="CB33" i="1"/>
  <c r="BS33" i="1"/>
  <c r="BP33" i="1"/>
  <c r="BT33" i="1"/>
  <c r="BX33" i="1"/>
  <c r="BZ33" i="1"/>
  <c r="DB33" i="1"/>
  <c r="DC33" i="1"/>
  <c r="DD33" i="1"/>
  <c r="DE33" i="1"/>
  <c r="DF33" i="1"/>
  <c r="DG33" i="1"/>
  <c r="DK10" i="1"/>
  <c r="DL10" i="1"/>
  <c r="CM47" i="1"/>
  <c r="CB47" i="1"/>
  <c r="DK47" i="1"/>
  <c r="DL47" i="1"/>
  <c r="DM47" i="1"/>
  <c r="DN47" i="1"/>
  <c r="DO47" i="1"/>
  <c r="DP47" i="1"/>
  <c r="BS47" i="1"/>
  <c r="BR47" i="1"/>
  <c r="CL47" i="1"/>
  <c r="CV47" i="1"/>
  <c r="CW47" i="1"/>
  <c r="CX47" i="1"/>
  <c r="CM10" i="1"/>
  <c r="BQ10" i="1"/>
  <c r="CM17" i="1"/>
  <c r="BT16" i="1"/>
  <c r="BX16" i="1"/>
  <c r="BQ17" i="1"/>
  <c r="CB13" i="1"/>
  <c r="CU17" i="1"/>
  <c r="CW17" i="1"/>
  <c r="CX17" i="1"/>
  <c r="CM13" i="1"/>
  <c r="E34" i="2"/>
  <c r="BP13" i="1"/>
  <c r="CL13" i="1"/>
  <c r="BQ13" i="1"/>
  <c r="BR13" i="1"/>
  <c r="DK13" i="1"/>
  <c r="DL13" i="1"/>
  <c r="DM16" i="1"/>
  <c r="DN16" i="1"/>
  <c r="DO16" i="1"/>
  <c r="DP16" i="1"/>
  <c r="BS13" i="1"/>
  <c r="BU13" i="1"/>
  <c r="BY13" i="1"/>
  <c r="CA13" i="1"/>
  <c r="BU16" i="1"/>
  <c r="BY16" i="1"/>
  <c r="CA16" i="1"/>
  <c r="DK17" i="1"/>
  <c r="DL17" i="1"/>
  <c r="BP17" i="1"/>
  <c r="CL17" i="1"/>
  <c r="BR10" i="1"/>
  <c r="CL10" i="1"/>
  <c r="BS17" i="1"/>
  <c r="CN16" i="1"/>
  <c r="CO16" i="1"/>
  <c r="BR17" i="1"/>
  <c r="DB17" i="1"/>
  <c r="DC17" i="1"/>
  <c r="DD17" i="1"/>
  <c r="DE17" i="1"/>
  <c r="DF17" i="1"/>
  <c r="DG17" i="1"/>
  <c r="CB10" i="1"/>
  <c r="CU10" i="1"/>
  <c r="CW10" i="1"/>
  <c r="CX10" i="1"/>
  <c r="BS10" i="1"/>
  <c r="BU10" i="1"/>
  <c r="BY10" i="1"/>
  <c r="CB17" i="1"/>
  <c r="BP10" i="1"/>
  <c r="DB10" i="1"/>
  <c r="DC10" i="1"/>
  <c r="DD10" i="1"/>
  <c r="DE10" i="1"/>
  <c r="DF10" i="1"/>
  <c r="DG10" i="1"/>
  <c r="E45" i="2"/>
  <c r="CN43" i="1"/>
  <c r="CO43" i="1"/>
  <c r="CG46" i="1"/>
  <c r="CU46" i="1"/>
  <c r="CG37" i="1"/>
  <c r="DB37" i="1"/>
  <c r="DC37" i="1"/>
  <c r="DD37" i="1"/>
  <c r="BT36" i="1"/>
  <c r="BX36" i="1"/>
  <c r="BZ36" i="1"/>
  <c r="CG35" i="1"/>
  <c r="CU35" i="1"/>
  <c r="CG29" i="1"/>
  <c r="BR29" i="1"/>
  <c r="BP19" i="1"/>
  <c r="DM11" i="1"/>
  <c r="DN11" i="1"/>
  <c r="DO11" i="1"/>
  <c r="DP11" i="1"/>
  <c r="CW7" i="1"/>
  <c r="CX7" i="1"/>
  <c r="CA7" i="1"/>
  <c r="BQ19" i="1"/>
  <c r="DB19" i="1"/>
  <c r="DC19" i="1"/>
  <c r="DD19" i="1"/>
  <c r="DE19" i="1"/>
  <c r="DF19" i="1"/>
  <c r="DG19" i="1"/>
  <c r="CW6" i="1"/>
  <c r="CX6" i="1"/>
  <c r="CW21" i="1"/>
  <c r="CX21" i="1"/>
  <c r="CA21" i="1"/>
  <c r="CM19" i="1"/>
  <c r="BR19" i="1"/>
  <c r="DK19" i="1"/>
  <c r="DL19" i="1"/>
  <c r="CV19" i="1"/>
  <c r="CW19" i="1"/>
  <c r="CX19" i="1"/>
  <c r="CL19" i="1"/>
  <c r="CN19" i="1"/>
  <c r="CO19" i="1"/>
  <c r="CW8" i="1"/>
  <c r="CX8" i="1"/>
  <c r="CA8" i="1"/>
  <c r="BS19" i="1"/>
  <c r="CB19" i="1"/>
  <c r="CN7" i="1"/>
  <c r="CO7" i="1"/>
  <c r="DM8" i="1"/>
  <c r="DN8" i="1"/>
  <c r="DO8" i="1"/>
  <c r="DP8" i="1"/>
  <c r="BT50" i="1"/>
  <c r="BX50" i="1"/>
  <c r="BT27" i="1"/>
  <c r="BX27" i="1"/>
  <c r="BZ27" i="1"/>
  <c r="BU6" i="1"/>
  <c r="BY6" i="1"/>
  <c r="BT6" i="1"/>
  <c r="BX6" i="1"/>
  <c r="DM6" i="1"/>
  <c r="DN6" i="1"/>
  <c r="DO6" i="1"/>
  <c r="DP6" i="1"/>
  <c r="BT7" i="1"/>
  <c r="BX7" i="1"/>
  <c r="BS59" i="1"/>
  <c r="CV59" i="1"/>
  <c r="CU59" i="1"/>
  <c r="BP59" i="1"/>
  <c r="BQ59" i="1"/>
  <c r="DK59" i="1"/>
  <c r="DL59" i="1"/>
  <c r="CM59" i="1"/>
  <c r="CL59" i="1"/>
  <c r="DB59" i="1"/>
  <c r="DC59" i="1"/>
  <c r="DD59" i="1"/>
  <c r="DE59" i="1"/>
  <c r="DF59" i="1"/>
  <c r="DG59" i="1"/>
  <c r="BR59" i="1"/>
  <c r="CB59" i="1"/>
  <c r="CV58" i="1"/>
  <c r="CB58" i="1"/>
  <c r="DK58" i="1"/>
  <c r="DL58" i="1"/>
  <c r="BQ58" i="1"/>
  <c r="CM58" i="1"/>
  <c r="BQ57" i="1"/>
  <c r="CL57" i="1"/>
  <c r="DK57" i="1"/>
  <c r="DL57" i="1"/>
  <c r="CB57" i="1"/>
  <c r="CV57" i="1"/>
  <c r="CU57" i="1"/>
  <c r="BP57" i="1"/>
  <c r="DB57" i="1"/>
  <c r="DC57" i="1"/>
  <c r="DD57" i="1"/>
  <c r="DE57" i="1"/>
  <c r="DF57" i="1"/>
  <c r="DG57" i="1"/>
  <c r="CM57" i="1"/>
  <c r="BS57" i="1"/>
  <c r="BR57" i="1"/>
  <c r="BT57" i="1"/>
  <c r="BX57" i="1"/>
  <c r="BS56" i="1"/>
  <c r="BQ56" i="1"/>
  <c r="CU56" i="1"/>
  <c r="BP56" i="1"/>
  <c r="DB56" i="1"/>
  <c r="DC56" i="1"/>
  <c r="DD56" i="1"/>
  <c r="DE56" i="1"/>
  <c r="DF56" i="1"/>
  <c r="DG56" i="1"/>
  <c r="BR56" i="1"/>
  <c r="CL56" i="1"/>
  <c r="CB56" i="1"/>
  <c r="CV56" i="1"/>
  <c r="DK56" i="1"/>
  <c r="DL56" i="1"/>
  <c r="CM56" i="1"/>
  <c r="CW43" i="1"/>
  <c r="CX43" i="1"/>
  <c r="CW50" i="1"/>
  <c r="CX50" i="1"/>
  <c r="DM36" i="1"/>
  <c r="DN36" i="1"/>
  <c r="DO36" i="1"/>
  <c r="DP36" i="1"/>
  <c r="CW34" i="1"/>
  <c r="CX34" i="1"/>
  <c r="BU34" i="1"/>
  <c r="BY34" i="1"/>
  <c r="DM22" i="1"/>
  <c r="DN22" i="1"/>
  <c r="DO22" i="1"/>
  <c r="DP22" i="1"/>
  <c r="DM27" i="1"/>
  <c r="DN27" i="1"/>
  <c r="DO27" i="1"/>
  <c r="DP27" i="1"/>
  <c r="BT23" i="1"/>
  <c r="BX23" i="1"/>
  <c r="DM23" i="1"/>
  <c r="DN23" i="1"/>
  <c r="DO23" i="1"/>
  <c r="DP23" i="1"/>
  <c r="CW22" i="1"/>
  <c r="CX22" i="1"/>
  <c r="CW23" i="1"/>
  <c r="CX23" i="1"/>
  <c r="BT21" i="1"/>
  <c r="BX21" i="1"/>
  <c r="CN21" i="1"/>
  <c r="CO21" i="1"/>
  <c r="DM21" i="1"/>
  <c r="CW18" i="1"/>
  <c r="CX18" i="1"/>
  <c r="DM18" i="1"/>
  <c r="DN18" i="1"/>
  <c r="DO18" i="1"/>
  <c r="DM9" i="1"/>
  <c r="DN9" i="1"/>
  <c r="DO9" i="1"/>
  <c r="DP9" i="1"/>
  <c r="BU11" i="1"/>
  <c r="BY11" i="1"/>
  <c r="CW11" i="1"/>
  <c r="CX11" i="1"/>
  <c r="BU9" i="1"/>
  <c r="BY9" i="1"/>
  <c r="CW9" i="1"/>
  <c r="CX9" i="1"/>
  <c r="DE13" i="1"/>
  <c r="DF13" i="1"/>
  <c r="DG13" i="1"/>
  <c r="DE43" i="1"/>
  <c r="DF43" i="1"/>
  <c r="DG43" i="1"/>
  <c r="DM43" i="1"/>
  <c r="DE34" i="1"/>
  <c r="DF34" i="1"/>
  <c r="DG34" i="1"/>
  <c r="DK49" i="1"/>
  <c r="DL49" i="1"/>
  <c r="DB49" i="1"/>
  <c r="DC49" i="1"/>
  <c r="DD49" i="1"/>
  <c r="CL49" i="1"/>
  <c r="CU49" i="1"/>
  <c r="CM49" i="1"/>
  <c r="CB49" i="1"/>
  <c r="BP49" i="1"/>
  <c r="BR49" i="1"/>
  <c r="CV49" i="1"/>
  <c r="BS49" i="1"/>
  <c r="BQ49" i="1"/>
  <c r="DK54" i="1"/>
  <c r="DL54" i="1"/>
  <c r="DB54" i="1"/>
  <c r="DC54" i="1"/>
  <c r="DD54" i="1"/>
  <c r="CU54" i="1"/>
  <c r="CL54" i="1"/>
  <c r="CM54" i="1"/>
  <c r="CB54" i="1"/>
  <c r="BR54" i="1"/>
  <c r="BQ54" i="1"/>
  <c r="BP54" i="1"/>
  <c r="CV54" i="1"/>
  <c r="BS54" i="1"/>
  <c r="BU22" i="1"/>
  <c r="BY22" i="1"/>
  <c r="DK45" i="1"/>
  <c r="DL45" i="1"/>
  <c r="CL45" i="1"/>
  <c r="CM45" i="1"/>
  <c r="DK5" i="1"/>
  <c r="DL5" i="1"/>
  <c r="DB5" i="1"/>
  <c r="DC5" i="1"/>
  <c r="DD5" i="1"/>
  <c r="CU5" i="1"/>
  <c r="CL5" i="1"/>
  <c r="BP5" i="1"/>
  <c r="BR5" i="1"/>
  <c r="CB5" i="1"/>
  <c r="CC5" i="1"/>
  <c r="CD5" i="1"/>
  <c r="CM5" i="1"/>
  <c r="BQ5" i="1"/>
  <c r="CV5" i="1"/>
  <c r="BS5" i="1"/>
  <c r="DK39" i="1"/>
  <c r="DL39" i="1"/>
  <c r="BR39" i="1"/>
  <c r="CV39" i="1"/>
  <c r="CW27" i="1"/>
  <c r="CX27" i="1"/>
  <c r="DE18" i="1"/>
  <c r="DF18" i="1"/>
  <c r="DG18" i="1"/>
  <c r="DK25" i="1"/>
  <c r="DL25" i="1"/>
  <c r="DB25" i="1"/>
  <c r="DC25" i="1"/>
  <c r="DD25" i="1"/>
  <c r="CU25" i="1"/>
  <c r="CL25" i="1"/>
  <c r="BP25" i="1"/>
  <c r="CB25" i="1"/>
  <c r="CM25" i="1"/>
  <c r="BR25" i="1"/>
  <c r="CV25" i="1"/>
  <c r="BS25" i="1"/>
  <c r="BQ25" i="1"/>
  <c r="BT34" i="1"/>
  <c r="BX34" i="1"/>
  <c r="BZ34" i="1"/>
  <c r="DM34" i="1"/>
  <c r="CG55" i="1"/>
  <c r="E55" i="2"/>
  <c r="CN23" i="1"/>
  <c r="CO23" i="1"/>
  <c r="CU44" i="1"/>
  <c r="CL44" i="1"/>
  <c r="DK44" i="1"/>
  <c r="DL44" i="1"/>
  <c r="DB44" i="1"/>
  <c r="DC44" i="1"/>
  <c r="DD44" i="1"/>
  <c r="BR44" i="1"/>
  <c r="CB44" i="1"/>
  <c r="BP44" i="1"/>
  <c r="BS44" i="1"/>
  <c r="CV44" i="1"/>
  <c r="BQ44" i="1"/>
  <c r="CM44" i="1"/>
  <c r="BT9" i="1"/>
  <c r="BX9" i="1"/>
  <c r="DE9" i="1"/>
  <c r="DF9" i="1"/>
  <c r="DG9" i="1"/>
  <c r="BT11" i="1"/>
  <c r="BX11" i="1"/>
  <c r="BU50" i="1"/>
  <c r="BY50" i="1"/>
  <c r="DE50" i="1"/>
  <c r="DF50" i="1"/>
  <c r="DG50" i="1"/>
  <c r="DK12" i="1"/>
  <c r="DL12" i="1"/>
  <c r="DB12" i="1"/>
  <c r="DC12" i="1"/>
  <c r="DD12" i="1"/>
  <c r="CU12" i="1"/>
  <c r="CL12" i="1"/>
  <c r="BP12" i="1"/>
  <c r="CB12" i="1"/>
  <c r="CC12" i="1"/>
  <c r="CD12" i="1"/>
  <c r="BR12" i="1"/>
  <c r="BQ12" i="1"/>
  <c r="BS12" i="1"/>
  <c r="CM12" i="1"/>
  <c r="CV12" i="1"/>
  <c r="BT47" i="1"/>
  <c r="BX47" i="1"/>
  <c r="BT8" i="1"/>
  <c r="BX8" i="1"/>
  <c r="CN8" i="1"/>
  <c r="CO8" i="1"/>
  <c r="CN6" i="1"/>
  <c r="CO6" i="1"/>
  <c r="DK31" i="1"/>
  <c r="DL31" i="1"/>
  <c r="DB31" i="1"/>
  <c r="DC31" i="1"/>
  <c r="DD31" i="1"/>
  <c r="CL31" i="1"/>
  <c r="CU31" i="1"/>
  <c r="CM31" i="1"/>
  <c r="CB31" i="1"/>
  <c r="BP31" i="1"/>
  <c r="BR31" i="1"/>
  <c r="BS31" i="1"/>
  <c r="BQ31" i="1"/>
  <c r="CV31" i="1"/>
  <c r="DE36" i="1"/>
  <c r="DF36" i="1"/>
  <c r="DG36" i="1"/>
  <c r="CU53" i="1"/>
  <c r="CL53" i="1"/>
  <c r="DK53" i="1"/>
  <c r="DL53" i="1"/>
  <c r="DB53" i="1"/>
  <c r="DC53" i="1"/>
  <c r="DD53" i="1"/>
  <c r="BP53" i="1"/>
  <c r="BR53" i="1"/>
  <c r="CB53" i="1"/>
  <c r="CM53" i="1"/>
  <c r="BS53" i="1"/>
  <c r="BQ53" i="1"/>
  <c r="CV53" i="1"/>
  <c r="BU14" i="1"/>
  <c r="BY14" i="1"/>
  <c r="DE14" i="1"/>
  <c r="DF14" i="1"/>
  <c r="DG14" i="1"/>
  <c r="E37" i="2"/>
  <c r="CG38" i="1"/>
  <c r="CU26" i="1"/>
  <c r="CL26" i="1"/>
  <c r="DK26" i="1"/>
  <c r="DL26" i="1"/>
  <c r="DB26" i="1"/>
  <c r="DC26" i="1"/>
  <c r="DD26" i="1"/>
  <c r="BP26" i="1"/>
  <c r="CB26" i="1"/>
  <c r="BR26" i="1"/>
  <c r="CM26" i="1"/>
  <c r="BQ26" i="1"/>
  <c r="CV26" i="1"/>
  <c r="BS26" i="1"/>
  <c r="E51" i="2"/>
  <c r="CG51" i="1"/>
  <c r="BT22" i="1"/>
  <c r="BX22" i="1"/>
  <c r="BZ22" i="1"/>
  <c r="BU33" i="1"/>
  <c r="BY33" i="1"/>
  <c r="DK40" i="1"/>
  <c r="DL40" i="1"/>
  <c r="DB40" i="1"/>
  <c r="DC40" i="1"/>
  <c r="DD40" i="1"/>
  <c r="CU40" i="1"/>
  <c r="CL40" i="1"/>
  <c r="CB40" i="1"/>
  <c r="BP40" i="1"/>
  <c r="BR40" i="1"/>
  <c r="BS40" i="1"/>
  <c r="CM40" i="1"/>
  <c r="CV40" i="1"/>
  <c r="BQ40" i="1"/>
  <c r="DK41" i="1"/>
  <c r="DL41" i="1"/>
  <c r="DB41" i="1"/>
  <c r="DC41" i="1"/>
  <c r="DD41" i="1"/>
  <c r="CU41" i="1"/>
  <c r="CL41" i="1"/>
  <c r="CM41" i="1"/>
  <c r="BR41" i="1"/>
  <c r="CB41" i="1"/>
  <c r="BP41" i="1"/>
  <c r="BS41" i="1"/>
  <c r="CV41" i="1"/>
  <c r="BQ41" i="1"/>
  <c r="BU27" i="1"/>
  <c r="BY27" i="1"/>
  <c r="DE27" i="1"/>
  <c r="DF27" i="1"/>
  <c r="DG27" i="1"/>
  <c r="BT18" i="1"/>
  <c r="BX18" i="1"/>
  <c r="CG52" i="1"/>
  <c r="E52" i="2"/>
  <c r="DE7" i="1"/>
  <c r="DF7" i="1"/>
  <c r="DG7" i="1"/>
  <c r="BU23" i="1"/>
  <c r="BY23" i="1"/>
  <c r="CU32" i="1"/>
  <c r="CL32" i="1"/>
  <c r="DK32" i="1"/>
  <c r="DL32" i="1"/>
  <c r="DB32" i="1"/>
  <c r="DC32" i="1"/>
  <c r="DD32" i="1"/>
  <c r="BP32" i="1"/>
  <c r="BR32" i="1"/>
  <c r="CB32" i="1"/>
  <c r="CM32" i="1"/>
  <c r="BS32" i="1"/>
  <c r="BQ32" i="1"/>
  <c r="CV32" i="1"/>
  <c r="DK48" i="1"/>
  <c r="DL48" i="1"/>
  <c r="DB48" i="1"/>
  <c r="DC48" i="1"/>
  <c r="DD48" i="1"/>
  <c r="CU48" i="1"/>
  <c r="CL48" i="1"/>
  <c r="CB48" i="1"/>
  <c r="CV48" i="1"/>
  <c r="CM48" i="1"/>
  <c r="BR48" i="1"/>
  <c r="BQ48" i="1"/>
  <c r="BP48" i="1"/>
  <c r="BS48" i="1"/>
  <c r="DE21" i="1"/>
  <c r="DF21" i="1"/>
  <c r="DG21" i="1"/>
  <c r="DE11" i="1"/>
  <c r="DF11" i="1"/>
  <c r="DG11" i="1"/>
  <c r="DM50" i="1"/>
  <c r="CU28" i="1"/>
  <c r="CL28" i="1"/>
  <c r="DB28" i="1"/>
  <c r="DC28" i="1"/>
  <c r="DD28" i="1"/>
  <c r="DK28" i="1"/>
  <c r="DL28" i="1"/>
  <c r="CB28" i="1"/>
  <c r="BS28" i="1"/>
  <c r="CV28" i="1"/>
  <c r="BP28" i="1"/>
  <c r="BR28" i="1"/>
  <c r="BQ28" i="1"/>
  <c r="CM28" i="1"/>
  <c r="DK30" i="1"/>
  <c r="DL30" i="1"/>
  <c r="DB30" i="1"/>
  <c r="DC30" i="1"/>
  <c r="DD30" i="1"/>
  <c r="CU30" i="1"/>
  <c r="CL30" i="1"/>
  <c r="CB30" i="1"/>
  <c r="BR30" i="1"/>
  <c r="BP30" i="1"/>
  <c r="CM30" i="1"/>
  <c r="BQ30" i="1"/>
  <c r="CV30" i="1"/>
  <c r="BS30" i="1"/>
  <c r="DM14" i="1"/>
  <c r="DK20" i="1"/>
  <c r="DL20" i="1"/>
  <c r="DB20" i="1"/>
  <c r="DC20" i="1"/>
  <c r="DD20" i="1"/>
  <c r="CU20" i="1"/>
  <c r="CL20" i="1"/>
  <c r="BR20" i="1"/>
  <c r="CB20" i="1"/>
  <c r="BP20" i="1"/>
  <c r="CV20" i="1"/>
  <c r="CM20" i="1"/>
  <c r="BQ20" i="1"/>
  <c r="BS20" i="1"/>
  <c r="DM33" i="1"/>
  <c r="BU18" i="1"/>
  <c r="BY18" i="1"/>
  <c r="DM7" i="1"/>
  <c r="DK24" i="1"/>
  <c r="DL24" i="1"/>
  <c r="DB24" i="1"/>
  <c r="DC24" i="1"/>
  <c r="DD24" i="1"/>
  <c r="CU24" i="1"/>
  <c r="CL24" i="1"/>
  <c r="CB24" i="1"/>
  <c r="BR24" i="1"/>
  <c r="BP24" i="1"/>
  <c r="BQ24" i="1"/>
  <c r="CM24" i="1"/>
  <c r="BS24" i="1"/>
  <c r="CV24" i="1"/>
  <c r="BT43" i="1"/>
  <c r="BX43" i="1"/>
  <c r="DE23" i="1"/>
  <c r="DF23" i="1"/>
  <c r="DG23" i="1"/>
  <c r="CN9" i="1"/>
  <c r="CO9" i="1"/>
  <c r="CN11" i="1"/>
  <c r="CO11" i="1"/>
  <c r="CN50" i="1"/>
  <c r="CO50" i="1"/>
  <c r="DE47" i="1"/>
  <c r="DF47" i="1"/>
  <c r="DG47" i="1"/>
  <c r="DE8" i="1"/>
  <c r="DF8" i="1"/>
  <c r="DG8" i="1"/>
  <c r="DE6" i="1"/>
  <c r="DF6" i="1"/>
  <c r="DG6" i="1"/>
  <c r="DK15" i="1"/>
  <c r="DL15" i="1"/>
  <c r="DB15" i="1"/>
  <c r="DC15" i="1"/>
  <c r="DD15" i="1"/>
  <c r="CU15" i="1"/>
  <c r="CL15" i="1"/>
  <c r="CB15" i="1"/>
  <c r="CC15" i="1"/>
  <c r="CD15" i="1"/>
  <c r="BR15" i="1"/>
  <c r="BP15" i="1"/>
  <c r="CM15" i="1"/>
  <c r="BQ15" i="1"/>
  <c r="BS15" i="1"/>
  <c r="CV15" i="1"/>
  <c r="DK42" i="1"/>
  <c r="DL42" i="1"/>
  <c r="DB42" i="1"/>
  <c r="DC42" i="1"/>
  <c r="DD42" i="1"/>
  <c r="CU42" i="1"/>
  <c r="CL42" i="1"/>
  <c r="CM42" i="1"/>
  <c r="BR42" i="1"/>
  <c r="BP42" i="1"/>
  <c r="CB42" i="1"/>
  <c r="BQ42" i="1"/>
  <c r="CV42" i="1"/>
  <c r="BS42" i="1"/>
  <c r="BU36" i="1"/>
  <c r="BY36" i="1"/>
  <c r="DE22" i="1"/>
  <c r="DF22" i="1"/>
  <c r="DG22" i="1"/>
  <c r="CW36" i="1"/>
  <c r="CX36" i="1"/>
  <c r="DB58" i="1"/>
  <c r="DC58" i="1"/>
  <c r="DD58" i="1"/>
  <c r="DE58" i="1"/>
  <c r="DF58" i="1"/>
  <c r="DG58" i="1"/>
  <c r="CL58" i="1"/>
  <c r="CN58" i="1"/>
  <c r="CO58" i="1"/>
  <c r="BS58" i="1"/>
  <c r="BP58" i="1"/>
  <c r="BR58" i="1"/>
  <c r="BP39" i="1"/>
  <c r="CN13" i="1"/>
  <c r="CO13" i="1"/>
  <c r="BS39" i="1"/>
  <c r="CM39" i="1"/>
  <c r="CL39" i="1"/>
  <c r="CN39" i="1"/>
  <c r="CO39" i="1"/>
  <c r="CU39" i="1"/>
  <c r="BS45" i="1"/>
  <c r="BP45" i="1"/>
  <c r="CB45" i="1"/>
  <c r="DM13" i="1"/>
  <c r="DN13" i="1"/>
  <c r="DO13" i="1"/>
  <c r="DP13" i="1"/>
  <c r="BQ39" i="1"/>
  <c r="CV45" i="1"/>
  <c r="CU45" i="1"/>
  <c r="CW45" i="1"/>
  <c r="CX45" i="1"/>
  <c r="CB39" i="1"/>
  <c r="BQ45" i="1"/>
  <c r="BR45" i="1"/>
  <c r="BT45" i="1"/>
  <c r="BX45" i="1"/>
  <c r="BU47" i="1"/>
  <c r="BY47" i="1"/>
  <c r="BZ16" i="1"/>
  <c r="CN17" i="1"/>
  <c r="CO17" i="1"/>
  <c r="BT17" i="1"/>
  <c r="BX17" i="1"/>
  <c r="BZ17" i="1"/>
  <c r="CA22" i="1"/>
  <c r="CN47" i="1"/>
  <c r="CO47" i="1"/>
  <c r="CL37" i="1"/>
  <c r="BU17" i="1"/>
  <c r="BY17" i="1"/>
  <c r="CA17" i="1"/>
  <c r="CN10" i="1"/>
  <c r="CO10" i="1"/>
  <c r="BT13" i="1"/>
  <c r="BX13" i="1"/>
  <c r="CM35" i="1"/>
  <c r="BP37" i="1"/>
  <c r="BU19" i="1"/>
  <c r="BY19" i="1"/>
  <c r="CA19" i="1"/>
  <c r="BT10" i="1"/>
  <c r="BX10" i="1"/>
  <c r="DM17" i="1"/>
  <c r="DN17" i="1"/>
  <c r="DO17" i="1"/>
  <c r="DP17" i="1"/>
  <c r="BR46" i="1"/>
  <c r="BT19" i="1"/>
  <c r="BX19" i="1"/>
  <c r="BZ19" i="1"/>
  <c r="CC19" i="1"/>
  <c r="CD19" i="1"/>
  <c r="BS37" i="1"/>
  <c r="CB37" i="1"/>
  <c r="DK37" i="1"/>
  <c r="DL37" i="1"/>
  <c r="DM37" i="1"/>
  <c r="DN37" i="1"/>
  <c r="DO37" i="1"/>
  <c r="DP37" i="1"/>
  <c r="BR37" i="1"/>
  <c r="BQ37" i="1"/>
  <c r="CU37" i="1"/>
  <c r="CM37" i="1"/>
  <c r="CV37" i="1"/>
  <c r="CB35" i="1"/>
  <c r="CA10" i="1"/>
  <c r="DB35" i="1"/>
  <c r="DC35" i="1"/>
  <c r="DD35" i="1"/>
  <c r="DE35" i="1"/>
  <c r="DF35" i="1"/>
  <c r="DG35" i="1"/>
  <c r="DM10" i="1"/>
  <c r="DN10" i="1"/>
  <c r="DO10" i="1"/>
  <c r="DP10" i="1"/>
  <c r="BU56" i="1"/>
  <c r="BY56" i="1"/>
  <c r="BU57" i="1"/>
  <c r="BY57" i="1"/>
  <c r="CW57" i="1"/>
  <c r="CX57" i="1"/>
  <c r="CN57" i="1"/>
  <c r="CO57" i="1"/>
  <c r="BZ57" i="1"/>
  <c r="CN59" i="1"/>
  <c r="CO59" i="1"/>
  <c r="BU59" i="1"/>
  <c r="BY59" i="1"/>
  <c r="DB46" i="1"/>
  <c r="DC46" i="1"/>
  <c r="DD46" i="1"/>
  <c r="CM46" i="1"/>
  <c r="BS46" i="1"/>
  <c r="CB46" i="1"/>
  <c r="DK46" i="1"/>
  <c r="DL46" i="1"/>
  <c r="DM46" i="1"/>
  <c r="DN46" i="1"/>
  <c r="DO46" i="1"/>
  <c r="DP46" i="1"/>
  <c r="BQ46" i="1"/>
  <c r="CL46" i="1"/>
  <c r="CV46" i="1"/>
  <c r="CW46" i="1"/>
  <c r="CX46" i="1"/>
  <c r="BP46" i="1"/>
  <c r="CA47" i="1"/>
  <c r="CW48" i="1"/>
  <c r="CX48" i="1"/>
  <c r="BZ50" i="1"/>
  <c r="CV35" i="1"/>
  <c r="CW35" i="1"/>
  <c r="CX35" i="1"/>
  <c r="CL35" i="1"/>
  <c r="BP35" i="1"/>
  <c r="CW26" i="1"/>
  <c r="CX26" i="1"/>
  <c r="BZ23" i="1"/>
  <c r="CC23" i="1"/>
  <c r="CD23" i="1"/>
  <c r="BT28" i="1"/>
  <c r="BX28" i="1"/>
  <c r="CM29" i="1"/>
  <c r="CU29" i="1"/>
  <c r="BP29" i="1"/>
  <c r="BT29" i="1"/>
  <c r="BX29" i="1"/>
  <c r="CB29" i="1"/>
  <c r="DK29" i="1"/>
  <c r="DL29" i="1"/>
  <c r="BS29" i="1"/>
  <c r="CL29" i="1"/>
  <c r="BS35" i="1"/>
  <c r="DK35" i="1"/>
  <c r="DL35" i="1"/>
  <c r="CV29" i="1"/>
  <c r="BQ29" i="1"/>
  <c r="DB29" i="1"/>
  <c r="DC29" i="1"/>
  <c r="DD29" i="1"/>
  <c r="DE29" i="1"/>
  <c r="DF29" i="1"/>
  <c r="DG29" i="1"/>
  <c r="BQ35" i="1"/>
  <c r="BR35" i="1"/>
  <c r="CA23" i="1"/>
  <c r="BT32" i="1"/>
  <c r="BX32" i="1"/>
  <c r="BZ6" i="1"/>
  <c r="CA6" i="1"/>
  <c r="BZ7" i="1"/>
  <c r="CC7" i="1"/>
  <c r="CD7" i="1"/>
  <c r="CA14" i="1"/>
  <c r="CC14" i="1"/>
  <c r="CD14" i="1"/>
  <c r="CA18" i="1"/>
  <c r="BZ13" i="1"/>
  <c r="CC13" i="1"/>
  <c r="CD13" i="1"/>
  <c r="DM19" i="1"/>
  <c r="DN19" i="1"/>
  <c r="DO19" i="1"/>
  <c r="DP19" i="1"/>
  <c r="BU15" i="1"/>
  <c r="BY15" i="1"/>
  <c r="DM53" i="1"/>
  <c r="DN53" i="1"/>
  <c r="DO53" i="1"/>
  <c r="DP53" i="1"/>
  <c r="BU54" i="1"/>
  <c r="BY54" i="1"/>
  <c r="CW54" i="1"/>
  <c r="CX54" i="1"/>
  <c r="BU53" i="1"/>
  <c r="BY53" i="1"/>
  <c r="CW53" i="1"/>
  <c r="CX53" i="1"/>
  <c r="DM54" i="1"/>
  <c r="DN54" i="1"/>
  <c r="DO54" i="1"/>
  <c r="DP54" i="1"/>
  <c r="DM42" i="1"/>
  <c r="DN42" i="1"/>
  <c r="DO42" i="1"/>
  <c r="DP42" i="1"/>
  <c r="BU31" i="1"/>
  <c r="BY31" i="1"/>
  <c r="DM31" i="1"/>
  <c r="DN31" i="1"/>
  <c r="DO31" i="1"/>
  <c r="DP31" i="1"/>
  <c r="CW20" i="1"/>
  <c r="CX20" i="1"/>
  <c r="CN56" i="1"/>
  <c r="CO56" i="1"/>
  <c r="DM56" i="1"/>
  <c r="DN56" i="1"/>
  <c r="DO56" i="1"/>
  <c r="DP56" i="1"/>
  <c r="BT56" i="1"/>
  <c r="BX56" i="1"/>
  <c r="BU58" i="1"/>
  <c r="BY58" i="1"/>
  <c r="CW59" i="1"/>
  <c r="CX59" i="1"/>
  <c r="CW56" i="1"/>
  <c r="CX56" i="1"/>
  <c r="BT58" i="1"/>
  <c r="BX58" i="1"/>
  <c r="CW58" i="1"/>
  <c r="CX58" i="1"/>
  <c r="BT59" i="1"/>
  <c r="BX59" i="1"/>
  <c r="DM59" i="1"/>
  <c r="DN59" i="1"/>
  <c r="DO59" i="1"/>
  <c r="DP59" i="1"/>
  <c r="DM57" i="1"/>
  <c r="DN57" i="1"/>
  <c r="DO57" i="1"/>
  <c r="DP57" i="1"/>
  <c r="DM58" i="1"/>
  <c r="DN58" i="1"/>
  <c r="DO58" i="1"/>
  <c r="DP58" i="1"/>
  <c r="BT48" i="1"/>
  <c r="BX48" i="1"/>
  <c r="CN41" i="1"/>
  <c r="CO41" i="1"/>
  <c r="CW42" i="1"/>
  <c r="CX42" i="1"/>
  <c r="BT41" i="1"/>
  <c r="BX41" i="1"/>
  <c r="DM40" i="1"/>
  <c r="DN40" i="1"/>
  <c r="DO40" i="1"/>
  <c r="DP40" i="1"/>
  <c r="CN44" i="1"/>
  <c r="CO44" i="1"/>
  <c r="BU49" i="1"/>
  <c r="BY49" i="1"/>
  <c r="DM48" i="1"/>
  <c r="DN48" i="1"/>
  <c r="DO48" i="1"/>
  <c r="BU41" i="1"/>
  <c r="BY41" i="1"/>
  <c r="BT44" i="1"/>
  <c r="BX44" i="1"/>
  <c r="BT40" i="1"/>
  <c r="BX40" i="1"/>
  <c r="CW40" i="1"/>
  <c r="CX40" i="1"/>
  <c r="BT49" i="1"/>
  <c r="BX49" i="1"/>
  <c r="CW49" i="1"/>
  <c r="CX49" i="1"/>
  <c r="BT30" i="1"/>
  <c r="BX30" i="1"/>
  <c r="CW28" i="1"/>
  <c r="CX28" i="1"/>
  <c r="CN32" i="1"/>
  <c r="CO32" i="1"/>
  <c r="BU26" i="1"/>
  <c r="BY26" i="1"/>
  <c r="BT26" i="1"/>
  <c r="BX26" i="1"/>
  <c r="CW32" i="1"/>
  <c r="CX32" i="1"/>
  <c r="BT25" i="1"/>
  <c r="BX25" i="1"/>
  <c r="DM24" i="1"/>
  <c r="DN24" i="1"/>
  <c r="DO24" i="1"/>
  <c r="DP24" i="1"/>
  <c r="CN30" i="1"/>
  <c r="CO30" i="1"/>
  <c r="BZ30" i="1"/>
  <c r="CN26" i="1"/>
  <c r="CO26" i="1"/>
  <c r="CN31" i="1"/>
  <c r="CO31" i="1"/>
  <c r="DM26" i="1"/>
  <c r="DN26" i="1"/>
  <c r="DO26" i="1"/>
  <c r="DP26" i="1"/>
  <c r="BU25" i="1"/>
  <c r="BY25" i="1"/>
  <c r="CA27" i="1"/>
  <c r="CC27" i="1"/>
  <c r="CD27" i="1"/>
  <c r="CN25" i="1"/>
  <c r="CO25" i="1"/>
  <c r="BZ21" i="1"/>
  <c r="CC21" i="1"/>
  <c r="CD21" i="1"/>
  <c r="CC17" i="1"/>
  <c r="CD17" i="1"/>
  <c r="DP18" i="1"/>
  <c r="BT20" i="1"/>
  <c r="BX20" i="1"/>
  <c r="DM20" i="1"/>
  <c r="DN20" i="1"/>
  <c r="DO20" i="1"/>
  <c r="DP20" i="1"/>
  <c r="BZ18" i="1"/>
  <c r="CC18" i="1"/>
  <c r="CD18" i="1"/>
  <c r="DN21" i="1"/>
  <c r="DO21" i="1"/>
  <c r="DP21" i="1"/>
  <c r="BU20" i="1"/>
  <c r="BY20" i="1"/>
  <c r="BU5" i="1"/>
  <c r="BY5" i="1"/>
  <c r="CW5" i="1"/>
  <c r="CX5" i="1"/>
  <c r="CN15" i="1"/>
  <c r="CO15" i="1"/>
  <c r="BT15" i="1"/>
  <c r="BX15" i="1"/>
  <c r="DM5" i="1"/>
  <c r="DN5" i="1"/>
  <c r="DO5" i="1"/>
  <c r="DP5" i="1"/>
  <c r="CA9" i="1"/>
  <c r="CA11" i="1"/>
  <c r="CA36" i="1"/>
  <c r="CC36" i="1"/>
  <c r="CD36" i="1"/>
  <c r="CN42" i="1"/>
  <c r="CO42" i="1"/>
  <c r="CW15" i="1"/>
  <c r="CX15" i="1"/>
  <c r="CN24" i="1"/>
  <c r="CO24" i="1"/>
  <c r="DN7" i="1"/>
  <c r="DO7" i="1"/>
  <c r="DP7" i="1"/>
  <c r="CN20" i="1"/>
  <c r="CO20" i="1"/>
  <c r="DN14" i="1"/>
  <c r="DO14" i="1"/>
  <c r="DP14" i="1"/>
  <c r="DM30" i="1"/>
  <c r="DM28" i="1"/>
  <c r="DN50" i="1"/>
  <c r="DO50" i="1"/>
  <c r="DP50" i="1"/>
  <c r="CA50" i="1"/>
  <c r="CN48" i="1"/>
  <c r="CO48" i="1"/>
  <c r="BU32" i="1"/>
  <c r="BY32" i="1"/>
  <c r="DM41" i="1"/>
  <c r="BU40" i="1"/>
  <c r="BY40" i="1"/>
  <c r="CN40" i="1"/>
  <c r="CO40" i="1"/>
  <c r="DK51" i="1"/>
  <c r="DL51" i="1"/>
  <c r="DB51" i="1"/>
  <c r="DC51" i="1"/>
  <c r="DD51" i="1"/>
  <c r="CL51" i="1"/>
  <c r="CU51" i="1"/>
  <c r="CM51" i="1"/>
  <c r="BP51" i="1"/>
  <c r="CB51" i="1"/>
  <c r="BR51" i="1"/>
  <c r="BQ51" i="1"/>
  <c r="CV51" i="1"/>
  <c r="BS51" i="1"/>
  <c r="DE46" i="1"/>
  <c r="DF46" i="1"/>
  <c r="DG46" i="1"/>
  <c r="DE53" i="1"/>
  <c r="DF53" i="1"/>
  <c r="DG53" i="1"/>
  <c r="DE31" i="1"/>
  <c r="DF31" i="1"/>
  <c r="DG31" i="1"/>
  <c r="BZ47" i="1"/>
  <c r="BU12" i="1"/>
  <c r="BY12" i="1"/>
  <c r="DM12" i="1"/>
  <c r="CW44" i="1"/>
  <c r="CX44" i="1"/>
  <c r="DK55" i="1"/>
  <c r="DL55" i="1"/>
  <c r="DB55" i="1"/>
  <c r="DC55" i="1"/>
  <c r="DD55" i="1"/>
  <c r="CL55" i="1"/>
  <c r="CU55" i="1"/>
  <c r="CM55" i="1"/>
  <c r="BR55" i="1"/>
  <c r="CB55" i="1"/>
  <c r="BP55" i="1"/>
  <c r="CV55" i="1"/>
  <c r="BS55" i="1"/>
  <c r="BQ55" i="1"/>
  <c r="DN34" i="1"/>
  <c r="DO34" i="1"/>
  <c r="DP34" i="1"/>
  <c r="CA34" i="1"/>
  <c r="CC34" i="1"/>
  <c r="CD34" i="1"/>
  <c r="DM25" i="1"/>
  <c r="BT39" i="1"/>
  <c r="BX39" i="1"/>
  <c r="DM39" i="1"/>
  <c r="BT5" i="1"/>
  <c r="BX5" i="1"/>
  <c r="DE5" i="1"/>
  <c r="DF5" i="1"/>
  <c r="DG5" i="1"/>
  <c r="CN45" i="1"/>
  <c r="CO45" i="1"/>
  <c r="DM45" i="1"/>
  <c r="CN54" i="1"/>
  <c r="CO54" i="1"/>
  <c r="CN49" i="1"/>
  <c r="CO49" i="1"/>
  <c r="DE37" i="1"/>
  <c r="DF37" i="1"/>
  <c r="DG37" i="1"/>
  <c r="DE15" i="1"/>
  <c r="DF15" i="1"/>
  <c r="DG15" i="1"/>
  <c r="CW24" i="1"/>
  <c r="CX24" i="1"/>
  <c r="DN33" i="1"/>
  <c r="DO33" i="1"/>
  <c r="DP33" i="1"/>
  <c r="CA33" i="1"/>
  <c r="CC33" i="1"/>
  <c r="CD33" i="1"/>
  <c r="DE28" i="1"/>
  <c r="DF28" i="1"/>
  <c r="DG28" i="1"/>
  <c r="BU48" i="1"/>
  <c r="BY48" i="1"/>
  <c r="DE32" i="1"/>
  <c r="DF32" i="1"/>
  <c r="DG32" i="1"/>
  <c r="DK52" i="1"/>
  <c r="DL52" i="1"/>
  <c r="DB52" i="1"/>
  <c r="DC52" i="1"/>
  <c r="DD52" i="1"/>
  <c r="CU52" i="1"/>
  <c r="CL52" i="1"/>
  <c r="CM52" i="1"/>
  <c r="BR52" i="1"/>
  <c r="BP52" i="1"/>
  <c r="CB52" i="1"/>
  <c r="BS52" i="1"/>
  <c r="CV52" i="1"/>
  <c r="BQ52" i="1"/>
  <c r="CN12" i="1"/>
  <c r="CO12" i="1"/>
  <c r="BZ9" i="1"/>
  <c r="BU44" i="1"/>
  <c r="BY44" i="1"/>
  <c r="DE44" i="1"/>
  <c r="DF44" i="1"/>
  <c r="DG44" i="1"/>
  <c r="BT54" i="1"/>
  <c r="BX54" i="1"/>
  <c r="DE49" i="1"/>
  <c r="DF49" i="1"/>
  <c r="DG49" i="1"/>
  <c r="BU37" i="1"/>
  <c r="BY37" i="1"/>
  <c r="BU42" i="1"/>
  <c r="BY42" i="1"/>
  <c r="BT42" i="1"/>
  <c r="BX42" i="1"/>
  <c r="DE42" i="1"/>
  <c r="DF42" i="1"/>
  <c r="DG42" i="1"/>
  <c r="DM15" i="1"/>
  <c r="BZ43" i="1"/>
  <c r="BU24" i="1"/>
  <c r="BY24" i="1"/>
  <c r="BT24" i="1"/>
  <c r="BX24" i="1"/>
  <c r="DE24" i="1"/>
  <c r="DF24" i="1"/>
  <c r="DG24" i="1"/>
  <c r="DE20" i="1"/>
  <c r="DF20" i="1"/>
  <c r="DG20" i="1"/>
  <c r="BU30" i="1"/>
  <c r="BY30" i="1"/>
  <c r="CW30" i="1"/>
  <c r="CX30" i="1"/>
  <c r="BU28" i="1"/>
  <c r="BY28" i="1"/>
  <c r="CN28" i="1"/>
  <c r="CO28" i="1"/>
  <c r="DE48" i="1"/>
  <c r="DF48" i="1"/>
  <c r="DG48" i="1"/>
  <c r="DM32" i="1"/>
  <c r="CW41" i="1"/>
  <c r="CX41" i="1"/>
  <c r="DE40" i="1"/>
  <c r="DF40" i="1"/>
  <c r="DG40" i="1"/>
  <c r="DE26" i="1"/>
  <c r="DF26" i="1"/>
  <c r="DG26" i="1"/>
  <c r="CU38" i="1"/>
  <c r="CL38" i="1"/>
  <c r="DB38" i="1"/>
  <c r="DC38" i="1"/>
  <c r="DD38" i="1"/>
  <c r="DK38" i="1"/>
  <c r="DL38" i="1"/>
  <c r="BQ38" i="1"/>
  <c r="BS38" i="1"/>
  <c r="CB38" i="1"/>
  <c r="BP38" i="1"/>
  <c r="BR38" i="1"/>
  <c r="CV38" i="1"/>
  <c r="CM38" i="1"/>
  <c r="BT53" i="1"/>
  <c r="BX53" i="1"/>
  <c r="CN53" i="1"/>
  <c r="CO53" i="1"/>
  <c r="BT31" i="1"/>
  <c r="BX31" i="1"/>
  <c r="CW31" i="1"/>
  <c r="CX31" i="1"/>
  <c r="BZ8" i="1"/>
  <c r="BT12" i="1"/>
  <c r="BX12" i="1"/>
  <c r="CW12" i="1"/>
  <c r="CX12" i="1"/>
  <c r="BZ11" i="1"/>
  <c r="DM44" i="1"/>
  <c r="CW25" i="1"/>
  <c r="CX25" i="1"/>
  <c r="BU39" i="1"/>
  <c r="BY39" i="1"/>
  <c r="CW39" i="1"/>
  <c r="CX39" i="1"/>
  <c r="CN5" i="1"/>
  <c r="CO5" i="1"/>
  <c r="BU45" i="1"/>
  <c r="BY45" i="1"/>
  <c r="DE54" i="1"/>
  <c r="DF54" i="1"/>
  <c r="DG54" i="1"/>
  <c r="DM49" i="1"/>
  <c r="DN43" i="1"/>
  <c r="DO43" i="1"/>
  <c r="DP43" i="1"/>
  <c r="CA43" i="1"/>
  <c r="DE30" i="1"/>
  <c r="DF30" i="1"/>
  <c r="DG30" i="1"/>
  <c r="DE41" i="1"/>
  <c r="DF41" i="1"/>
  <c r="DG41" i="1"/>
  <c r="DE12" i="1"/>
  <c r="DF12" i="1"/>
  <c r="DG12" i="1"/>
  <c r="DE25" i="1"/>
  <c r="DF25" i="1"/>
  <c r="DG25" i="1"/>
  <c r="DE39" i="1"/>
  <c r="DF39" i="1"/>
  <c r="DG39" i="1"/>
  <c r="DE45" i="1"/>
  <c r="DF45" i="1"/>
  <c r="DG45" i="1"/>
  <c r="CN35" i="1"/>
  <c r="CO35" i="1"/>
  <c r="CW37" i="1"/>
  <c r="CX37" i="1"/>
  <c r="BZ10" i="1"/>
  <c r="CC10" i="1"/>
  <c r="CD10" i="1"/>
  <c r="BZ59" i="1"/>
  <c r="CN37" i="1"/>
  <c r="CO37" i="1"/>
  <c r="DM35" i="1"/>
  <c r="DN35" i="1"/>
  <c r="DO35" i="1"/>
  <c r="DP35" i="1"/>
  <c r="BT37" i="1"/>
  <c r="BX37" i="1"/>
  <c r="BU29" i="1"/>
  <c r="BY29" i="1"/>
  <c r="BT46" i="1"/>
  <c r="BX46" i="1"/>
  <c r="BZ56" i="1"/>
  <c r="CA57" i="1"/>
  <c r="CC57" i="1"/>
  <c r="CD57" i="1"/>
  <c r="BZ58" i="1"/>
  <c r="CN46" i="1"/>
  <c r="CO46" i="1"/>
  <c r="BU46" i="1"/>
  <c r="BY46" i="1"/>
  <c r="CA46" i="1"/>
  <c r="CC47" i="1"/>
  <c r="CD47" i="1"/>
  <c r="BZ40" i="1"/>
  <c r="BZ39" i="1"/>
  <c r="BZ44" i="1"/>
  <c r="BZ48" i="1"/>
  <c r="CC50" i="1"/>
  <c r="CD50" i="1"/>
  <c r="BZ49" i="1"/>
  <c r="CA31" i="1"/>
  <c r="BT35" i="1"/>
  <c r="BX35" i="1"/>
  <c r="CW29" i="1"/>
  <c r="CX29" i="1"/>
  <c r="CA29" i="1"/>
  <c r="BU35" i="1"/>
  <c r="BY35" i="1"/>
  <c r="CA35" i="1"/>
  <c r="CA25" i="1"/>
  <c r="CN29" i="1"/>
  <c r="CO29" i="1"/>
  <c r="BZ29" i="1"/>
  <c r="DM29" i="1"/>
  <c r="DN29" i="1"/>
  <c r="DO29" i="1"/>
  <c r="DP29" i="1"/>
  <c r="BZ25" i="1"/>
  <c r="BZ31" i="1"/>
  <c r="CC31" i="1"/>
  <c r="CD31" i="1"/>
  <c r="BZ32" i="1"/>
  <c r="CA37" i="1"/>
  <c r="BZ26" i="1"/>
  <c r="BZ28" i="1"/>
  <c r="CA26" i="1"/>
  <c r="CA15" i="1"/>
  <c r="BZ20" i="1"/>
  <c r="CC20" i="1"/>
  <c r="CD20" i="1"/>
  <c r="BZ53" i="1"/>
  <c r="CA54" i="1"/>
  <c r="CA53" i="1"/>
  <c r="BZ41" i="1"/>
  <c r="BZ45" i="1"/>
  <c r="BZ35" i="1"/>
  <c r="CC35" i="1"/>
  <c r="CD35" i="1"/>
  <c r="CA20" i="1"/>
  <c r="BZ15" i="1"/>
  <c r="CA59" i="1"/>
  <c r="CA58" i="1"/>
  <c r="CA56" i="1"/>
  <c r="CN52" i="1"/>
  <c r="CO52" i="1"/>
  <c r="CW55" i="1"/>
  <c r="CX55" i="1"/>
  <c r="BU51" i="1"/>
  <c r="BY51" i="1"/>
  <c r="BU52" i="1"/>
  <c r="BY52" i="1"/>
  <c r="DM52" i="1"/>
  <c r="DN52" i="1"/>
  <c r="DO52" i="1"/>
  <c r="DP52" i="1"/>
  <c r="DM55" i="1"/>
  <c r="DN55" i="1"/>
  <c r="DO55" i="1"/>
  <c r="DP55" i="1"/>
  <c r="BT51" i="1"/>
  <c r="BX51" i="1"/>
  <c r="CW51" i="1"/>
  <c r="CX51" i="1"/>
  <c r="CW52" i="1"/>
  <c r="CX52" i="1"/>
  <c r="CN51" i="1"/>
  <c r="CO51" i="1"/>
  <c r="CC43" i="1"/>
  <c r="CD43" i="1"/>
  <c r="CA42" i="1"/>
  <c r="CA44" i="1"/>
  <c r="CC44" i="1"/>
  <c r="CD44" i="1"/>
  <c r="DP48" i="1"/>
  <c r="CA48" i="1"/>
  <c r="CC48" i="1"/>
  <c r="CD48" i="1"/>
  <c r="CA40" i="1"/>
  <c r="CA45" i="1"/>
  <c r="CW38" i="1"/>
  <c r="CX38" i="1"/>
  <c r="DM38" i="1"/>
  <c r="DN38" i="1"/>
  <c r="DO38" i="1"/>
  <c r="DP38" i="1"/>
  <c r="CA30" i="1"/>
  <c r="CC30" i="1"/>
  <c r="CD30" i="1"/>
  <c r="BZ24" i="1"/>
  <c r="CA24" i="1"/>
  <c r="CA5" i="1"/>
  <c r="BZ12" i="1"/>
  <c r="BU38" i="1"/>
  <c r="BY38" i="1"/>
  <c r="CN38" i="1"/>
  <c r="CO38" i="1"/>
  <c r="BZ42" i="1"/>
  <c r="BZ54" i="1"/>
  <c r="BT52" i="1"/>
  <c r="BX52" i="1"/>
  <c r="DE52" i="1"/>
  <c r="DF52" i="1"/>
  <c r="DG52" i="1"/>
  <c r="DN25" i="1"/>
  <c r="DO25" i="1"/>
  <c r="DP25" i="1"/>
  <c r="BU55" i="1"/>
  <c r="BY55" i="1"/>
  <c r="BT55" i="1"/>
  <c r="BX55" i="1"/>
  <c r="DE55" i="1"/>
  <c r="DF55" i="1"/>
  <c r="DG55" i="1"/>
  <c r="DN12" i="1"/>
  <c r="DO12" i="1"/>
  <c r="DP12" i="1"/>
  <c r="DM51" i="1"/>
  <c r="DN49" i="1"/>
  <c r="DO49" i="1"/>
  <c r="DP49" i="1"/>
  <c r="CA49" i="1"/>
  <c r="CC49" i="1"/>
  <c r="CD49" i="1"/>
  <c r="DN44" i="1"/>
  <c r="DO44" i="1"/>
  <c r="DP44" i="1"/>
  <c r="BT38" i="1"/>
  <c r="BX38" i="1"/>
  <c r="DN15" i="1"/>
  <c r="DO15" i="1"/>
  <c r="DP15" i="1"/>
  <c r="DN45" i="1"/>
  <c r="DO45" i="1"/>
  <c r="DP45" i="1"/>
  <c r="BZ5" i="1"/>
  <c r="CA12" i="1"/>
  <c r="DN39" i="1"/>
  <c r="DO39" i="1"/>
  <c r="DP39" i="1"/>
  <c r="CA39" i="1"/>
  <c r="DN28" i="1"/>
  <c r="DO28" i="1"/>
  <c r="DP28" i="1"/>
  <c r="CA28" i="1"/>
  <c r="DE38" i="1"/>
  <c r="DF38" i="1"/>
  <c r="DG38" i="1"/>
  <c r="DN32" i="1"/>
  <c r="DO32" i="1"/>
  <c r="DP32" i="1"/>
  <c r="CA32" i="1"/>
  <c r="CN55" i="1"/>
  <c r="CO55" i="1"/>
  <c r="DE51" i="1"/>
  <c r="DF51" i="1"/>
  <c r="DG51" i="1"/>
  <c r="DN41" i="1"/>
  <c r="DO41" i="1"/>
  <c r="DP41" i="1"/>
  <c r="CA41" i="1"/>
  <c r="CC41" i="1"/>
  <c r="CD41" i="1"/>
  <c r="DN30" i="1"/>
  <c r="DO30" i="1"/>
  <c r="DP30" i="1"/>
  <c r="CC40" i="1"/>
  <c r="CD40" i="1"/>
  <c r="CC59" i="1"/>
  <c r="CD59" i="1"/>
  <c r="BZ37" i="1"/>
  <c r="CC37" i="1"/>
  <c r="CD37" i="1"/>
  <c r="BZ46" i="1"/>
  <c r="CC46" i="1"/>
  <c r="CD46" i="1"/>
  <c r="CC25" i="1"/>
  <c r="CD25" i="1"/>
  <c r="CC56" i="1"/>
  <c r="CD56" i="1"/>
  <c r="CC32" i="1"/>
  <c r="CD32" i="1"/>
  <c r="CC58" i="1"/>
  <c r="CD58" i="1"/>
  <c r="CC54" i="1"/>
  <c r="CD54" i="1"/>
  <c r="CC39" i="1"/>
  <c r="CD39" i="1"/>
  <c r="CC45" i="1"/>
  <c r="CD45" i="1"/>
  <c r="CC42" i="1"/>
  <c r="CD42" i="1"/>
  <c r="CC29" i="1"/>
  <c r="CD29" i="1"/>
  <c r="CC26" i="1"/>
  <c r="CD26" i="1"/>
  <c r="CC28" i="1"/>
  <c r="CD28" i="1"/>
  <c r="CC53" i="1"/>
  <c r="CD53" i="1"/>
  <c r="BZ52" i="1"/>
  <c r="BZ51" i="1"/>
  <c r="CA55" i="1"/>
  <c r="CA52" i="1"/>
  <c r="CA38" i="1"/>
  <c r="BZ38" i="1"/>
  <c r="CC24" i="1"/>
  <c r="CD24" i="1"/>
  <c r="BZ55" i="1"/>
  <c r="DN51" i="1"/>
  <c r="DO51" i="1"/>
  <c r="DP51" i="1"/>
  <c r="CA51" i="1"/>
  <c r="CC55" i="1"/>
  <c r="CD55" i="1"/>
  <c r="CC52" i="1"/>
  <c r="CD52" i="1"/>
  <c r="CC51" i="1"/>
  <c r="CD51" i="1"/>
  <c r="CC38" i="1"/>
  <c r="CD38" i="1"/>
</calcChain>
</file>

<file path=xl/sharedStrings.xml><?xml version="1.0" encoding="utf-8"?>
<sst xmlns="http://schemas.openxmlformats.org/spreadsheetml/2006/main" count="1023" uniqueCount="237">
  <si>
    <t>ρ</t>
  </si>
  <si>
    <t>CHECK</t>
  </si>
  <si>
    <t>BEAM</t>
  </si>
  <si>
    <t>COLUMN</t>
  </si>
  <si>
    <t>b</t>
  </si>
  <si>
    <t>h</t>
  </si>
  <si>
    <t>C1</t>
  </si>
  <si>
    <t>COL.NO</t>
  </si>
  <si>
    <t>C2</t>
  </si>
  <si>
    <t>C3</t>
  </si>
  <si>
    <t>C4</t>
  </si>
  <si>
    <t>C5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</si>
  <si>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</si>
  <si>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</si>
  <si>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</si>
  <si>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</si>
  <si>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</si>
  <si>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</si>
  <si>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</si>
  <si>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</si>
  <si>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</si>
  <si>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</si>
  <si>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</si>
  <si>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</si>
  <si>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</si>
  <si>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</si>
  <si>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</si>
  <si>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</si>
  <si>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</si>
  <si>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FOR NON SWAY</t>
  </si>
  <si>
    <t>klu/r</t>
  </si>
  <si>
    <t>Lu</t>
  </si>
  <si>
    <t>34-12(M1/M2)</t>
  </si>
  <si>
    <t>Pu</t>
  </si>
  <si>
    <t>(KN)</t>
  </si>
  <si>
    <t>(KN.m)</t>
  </si>
  <si>
    <t>mm</t>
  </si>
  <si>
    <t>D</t>
  </si>
  <si>
    <t>f'c(Mpa)=</t>
  </si>
  <si>
    <t>fy(Mpa)=</t>
  </si>
  <si>
    <t>m=</t>
  </si>
  <si>
    <t>β=</t>
  </si>
  <si>
    <t>φ=</t>
  </si>
  <si>
    <t>d'(mm)=</t>
  </si>
  <si>
    <t>Col .No</t>
  </si>
  <si>
    <t>d</t>
  </si>
  <si>
    <t>Mux</t>
  </si>
  <si>
    <t>Muy</t>
  </si>
  <si>
    <t>Muox</t>
  </si>
  <si>
    <t>Muoy</t>
  </si>
  <si>
    <t>Mu eq</t>
  </si>
  <si>
    <t>e</t>
  </si>
  <si>
    <t>Check</t>
  </si>
  <si>
    <t>As</t>
  </si>
  <si>
    <t>A's</t>
  </si>
  <si>
    <t>Bars</t>
  </si>
  <si>
    <t>Vu</t>
  </si>
  <si>
    <t>ex</t>
  </si>
  <si>
    <t>ey</t>
  </si>
  <si>
    <t>Note</t>
  </si>
  <si>
    <t>(mm)</t>
  </si>
  <si>
    <t>(Kn)</t>
  </si>
  <si>
    <t>(Kn.m)</t>
  </si>
  <si>
    <t>(m)</t>
  </si>
  <si>
    <t>(mm^2)</t>
  </si>
  <si>
    <t>φ</t>
  </si>
  <si>
    <t>KN.m</t>
  </si>
  <si>
    <t>KN</t>
  </si>
  <si>
    <t>MPa</t>
  </si>
  <si>
    <t>m</t>
  </si>
  <si>
    <r>
      <rPr>
        <sz val="20"/>
        <color rgb="FF000000"/>
        <rFont val="Bodoni MT"/>
      </rPr>
      <t>a</t>
    </r>
    <r>
      <rPr>
        <sz val="8"/>
        <color rgb="FF000000"/>
        <rFont val="Bodoni MT"/>
      </rPr>
      <t>bx</t>
    </r>
  </si>
  <si>
    <t>fs'x</t>
  </si>
  <si>
    <r>
      <rPr>
        <sz val="12"/>
        <color rgb="FF000000"/>
        <rFont val="Bodoni MT"/>
      </rPr>
      <t>P</t>
    </r>
    <r>
      <rPr>
        <sz val="8"/>
        <color rgb="FF000000"/>
        <rFont val="Bodoni MT"/>
      </rPr>
      <t>bx</t>
    </r>
  </si>
  <si>
    <r>
      <rPr>
        <sz val="12"/>
        <color rgb="FF000000"/>
        <rFont val="Bodoni MT"/>
      </rPr>
      <t>M</t>
    </r>
    <r>
      <rPr>
        <sz val="8"/>
        <color rgb="FF000000"/>
        <rFont val="Bodoni MT"/>
      </rPr>
      <t>bx</t>
    </r>
  </si>
  <si>
    <r>
      <rPr>
        <sz val="16"/>
        <color rgb="FF000000"/>
        <rFont val="Bodoni MT"/>
      </rPr>
      <t>e</t>
    </r>
    <r>
      <rPr>
        <sz val="8"/>
        <color rgb="FF000000"/>
        <rFont val="Bodoni MT"/>
      </rPr>
      <t>bx</t>
    </r>
  </si>
  <si>
    <t>Check X dirction</t>
  </si>
  <si>
    <t>Check Y dirction</t>
  </si>
  <si>
    <t>bx=hy</t>
  </si>
  <si>
    <t>hx=by</t>
  </si>
  <si>
    <r>
      <rPr>
        <sz val="20"/>
        <color rgb="FF000000"/>
        <rFont val="Bodoni MT"/>
      </rPr>
      <t>a</t>
    </r>
    <r>
      <rPr>
        <sz val="8"/>
        <color rgb="FF000000"/>
        <rFont val="Bodoni MT"/>
      </rPr>
      <t>by</t>
    </r>
  </si>
  <si>
    <t>fs'y</t>
  </si>
  <si>
    <r>
      <rPr>
        <sz val="12"/>
        <color rgb="FF000000"/>
        <rFont val="Bodoni MT"/>
      </rPr>
      <t>P</t>
    </r>
    <r>
      <rPr>
        <sz val="8"/>
        <color rgb="FF000000"/>
        <rFont val="Bodoni MT"/>
      </rPr>
      <t>by</t>
    </r>
  </si>
  <si>
    <r>
      <rPr>
        <sz val="12"/>
        <color rgb="FF000000"/>
        <rFont val="Bodoni MT"/>
      </rPr>
      <t>M</t>
    </r>
    <r>
      <rPr>
        <sz val="8"/>
        <color rgb="FF000000"/>
        <rFont val="Bodoni MT"/>
      </rPr>
      <t>by</t>
    </r>
  </si>
  <si>
    <r>
      <rPr>
        <sz val="16"/>
        <color rgb="FF000000"/>
        <rFont val="Bodoni MT"/>
      </rPr>
      <t>e</t>
    </r>
    <r>
      <rPr>
        <sz val="8"/>
        <color rgb="FF000000"/>
        <rFont val="Bodoni MT"/>
      </rPr>
      <t>by</t>
    </r>
  </si>
  <si>
    <t>A</t>
  </si>
  <si>
    <t>As'</t>
  </si>
  <si>
    <t>B</t>
  </si>
  <si>
    <t>C</t>
  </si>
  <si>
    <t>e'</t>
  </si>
  <si>
    <t>Pn</t>
  </si>
  <si>
    <t>a</t>
  </si>
  <si>
    <t>fs'</t>
  </si>
  <si>
    <t>Check Capasity of Columns</t>
  </si>
  <si>
    <t>IF COMPRESSION CONTROLS</t>
  </si>
  <si>
    <t>IF TENTION CONTROLS</t>
  </si>
  <si>
    <t>X-direction</t>
  </si>
  <si>
    <t>Y-direction</t>
  </si>
  <si>
    <t>H</t>
  </si>
  <si>
    <t>L</t>
  </si>
  <si>
    <t>I/L</t>
  </si>
  <si>
    <t>Top</t>
  </si>
  <si>
    <t>Bottom</t>
  </si>
  <si>
    <t>Beam1x</t>
  </si>
  <si>
    <t>Beam2x</t>
  </si>
  <si>
    <t>Ix/L</t>
  </si>
  <si>
    <r>
      <t>K</t>
    </r>
    <r>
      <rPr>
        <b/>
        <i/>
        <sz val="12"/>
        <rFont val="Times New Roman"/>
      </rPr>
      <t>x</t>
    </r>
  </si>
  <si>
    <r>
      <t>ψ</t>
    </r>
    <r>
      <rPr>
        <b/>
        <i/>
        <sz val="12"/>
        <rFont val="Times New Roman"/>
      </rPr>
      <t>x</t>
    </r>
  </si>
  <si>
    <t>Mu(TOP)x</t>
  </si>
  <si>
    <t>Mu(BOT)x</t>
  </si>
  <si>
    <t>Mu(TOP)y</t>
  </si>
  <si>
    <t>Mu(BOT)y</t>
  </si>
  <si>
    <t>Check Slinderness X-Dirction</t>
  </si>
  <si>
    <t>abs(Mxtop)</t>
  </si>
  <si>
    <t>abs(Mxbot)</t>
  </si>
  <si>
    <t>abs(Mytop)</t>
  </si>
  <si>
    <t>abs(Mybot)</t>
  </si>
  <si>
    <t>C24</t>
  </si>
  <si>
    <t>Vc</t>
  </si>
  <si>
    <t>Vs</t>
  </si>
  <si>
    <t>Smax</t>
  </si>
  <si>
    <t>S</t>
  </si>
  <si>
    <t>Shear Design</t>
  </si>
  <si>
    <r>
      <rPr>
        <b/>
        <sz val="11"/>
        <color rgb="FF1F4A7E"/>
        <rFont val="Bodoni MT"/>
      </rPr>
      <t>hoops</t>
    </r>
    <r>
      <rPr>
        <sz val="11"/>
        <color rgb="FF000000"/>
        <rFont val="Bodoni MT"/>
      </rPr>
      <t xml:space="preserve"> </t>
    </r>
    <r>
      <rPr>
        <b/>
        <sz val="11"/>
        <color rgb="FFFF0000"/>
        <rFont val="Bodoni MT"/>
      </rPr>
      <t>S</t>
    </r>
    <r>
      <rPr>
        <b/>
        <sz val="16"/>
        <color rgb="FFFF0000"/>
        <rFont val="Malgun Gothic"/>
      </rPr>
      <t>→</t>
    </r>
    <r>
      <rPr>
        <b/>
        <sz val="11"/>
        <color rgb="FFFF0000"/>
        <rFont val="Bodoni MT"/>
      </rPr>
      <t>Lo</t>
    </r>
  </si>
  <si>
    <t>Column</t>
  </si>
  <si>
    <r>
      <rPr>
        <sz val="14"/>
        <color rgb="FFFFFF00"/>
        <rFont val="Calibri"/>
      </rPr>
      <t>P</t>
    </r>
    <r>
      <rPr>
        <vertAlign val="subscript"/>
        <sz val="14"/>
        <color rgb="FFFFFF00"/>
        <rFont val="Bodoni MT"/>
      </rPr>
      <t>nx</t>
    </r>
  </si>
  <si>
    <r>
      <rPr>
        <sz val="14"/>
        <color rgb="FFFFFF00"/>
        <rFont val="Calibri"/>
      </rPr>
      <t>P</t>
    </r>
    <r>
      <rPr>
        <vertAlign val="subscript"/>
        <sz val="14"/>
        <color rgb="FFFFFF00"/>
        <rFont val="Bodoni MT"/>
      </rPr>
      <t>ny</t>
    </r>
  </si>
  <si>
    <r>
      <rPr>
        <sz val="14"/>
        <color rgb="FFFFFF00"/>
        <rFont val="Calibri"/>
      </rPr>
      <t>P</t>
    </r>
    <r>
      <rPr>
        <vertAlign val="subscript"/>
        <sz val="14"/>
        <color rgb="FFFFFF00"/>
        <rFont val="Bodoni MT"/>
      </rPr>
      <t>no</t>
    </r>
  </si>
  <si>
    <r>
      <rPr>
        <sz val="14"/>
        <color rgb="FFFFFF00"/>
        <rFont val="Calibri"/>
      </rPr>
      <t>Pu</t>
    </r>
    <r>
      <rPr>
        <vertAlign val="subscript"/>
        <sz val="14"/>
        <color rgb="FFFFFF00"/>
        <rFont val="Bodoni MT"/>
      </rPr>
      <t>biaxial</t>
    </r>
  </si>
  <si>
    <r>
      <rPr>
        <b/>
        <sz val="14"/>
        <color rgb="FFFFFF00"/>
        <rFont val="Calibri"/>
      </rPr>
      <t>ø</t>
    </r>
    <r>
      <rPr>
        <sz val="8"/>
        <color rgb="FFFFFF00"/>
        <rFont val="Bodoni MT"/>
      </rPr>
      <t>stirrups</t>
    </r>
    <r>
      <rPr>
        <sz val="11"/>
        <color rgb="FFFFFF00"/>
        <rFont val="Bodoni MT"/>
      </rPr>
      <t>=</t>
    </r>
  </si>
  <si>
    <r>
      <rPr>
        <b/>
        <sz val="12"/>
        <color rgb="FFFFFF00"/>
        <rFont val="Bodoni MT"/>
      </rPr>
      <t>A</t>
    </r>
    <r>
      <rPr>
        <b/>
        <sz val="9"/>
        <color rgb="FFFFFF00"/>
        <rFont val="Bodoni MT"/>
      </rPr>
      <t>v=</t>
    </r>
  </si>
  <si>
    <t xml:space="preserve">Design of Columns for Ground &amp; 1st Floor </t>
  </si>
  <si>
    <r>
      <rPr>
        <sz val="14"/>
        <color rgb="FFFFFF00"/>
        <rFont val="Bodoni MT"/>
      </rPr>
      <t>φ</t>
    </r>
    <r>
      <rPr>
        <sz val="11"/>
        <color rgb="FFFFFF00"/>
        <rFont val="Bodoni MT"/>
      </rPr>
      <t>=</t>
    </r>
  </si>
  <si>
    <r>
      <rPr>
        <sz val="14"/>
        <color rgb="FFFFFF00"/>
        <rFont val="Bodoni MT"/>
      </rPr>
      <t>f</t>
    </r>
    <r>
      <rPr>
        <sz val="10"/>
        <color rgb="FFFFFF00"/>
        <rFont val="Bodoni MT"/>
      </rPr>
      <t>y=</t>
    </r>
  </si>
  <si>
    <t>Lo</t>
  </si>
  <si>
    <t xml:space="preserve">Design of Columns for Ground &amp; 1st Floors </t>
  </si>
  <si>
    <t>USE</t>
  </si>
  <si>
    <t>COL</t>
  </si>
  <si>
    <t>الابعاد</t>
  </si>
  <si>
    <t>التسليح</t>
  </si>
  <si>
    <t>الكانات</t>
  </si>
  <si>
    <t>العرض(mm)</t>
  </si>
  <si>
    <t>الطول(mm)</t>
  </si>
  <si>
    <t>Story1</t>
  </si>
  <si>
    <t>name</t>
  </si>
  <si>
    <t>MIDAH</t>
  </si>
  <si>
    <t>Story 2</t>
  </si>
  <si>
    <t>الرقم</t>
  </si>
  <si>
    <t>Story 3</t>
  </si>
  <si>
    <t>Story 4</t>
  </si>
  <si>
    <t>Story 5</t>
  </si>
  <si>
    <t>Story 6</t>
  </si>
  <si>
    <t xml:space="preserve">2 , 220 ,152 </t>
  </si>
  <si>
    <t>18 , 226 , 168</t>
  </si>
  <si>
    <t>17 , 235 ,167</t>
  </si>
  <si>
    <t>3 , 221 , 153</t>
  </si>
  <si>
    <t>4 , 222 , 154</t>
  </si>
  <si>
    <t>14 , 232 , 164</t>
  </si>
  <si>
    <t>13 , 231 , 163</t>
  </si>
  <si>
    <t>11 , 229 ,161</t>
  </si>
  <si>
    <t>12 , 230 , 162</t>
  </si>
  <si>
    <t>8 , 226 , 158</t>
  </si>
  <si>
    <t>7 , 225 , 157</t>
  </si>
  <si>
    <t>6 , 224 , 156</t>
  </si>
  <si>
    <t>9 , 227 ,159</t>
  </si>
  <si>
    <t>10 , 228 ,160</t>
  </si>
  <si>
    <t>5 , 223 ,155</t>
  </si>
  <si>
    <t>15 , 233 165</t>
  </si>
  <si>
    <t>16 , 234 , 166</t>
  </si>
  <si>
    <t>C6</t>
  </si>
  <si>
    <t>C222</t>
  </si>
  <si>
    <t>C223</t>
  </si>
  <si>
    <t>C224</t>
  </si>
  <si>
    <t>C228</t>
  </si>
  <si>
    <t>C236</t>
  </si>
  <si>
    <t>C220</t>
  </si>
  <si>
    <t>C221</t>
  </si>
  <si>
    <t>C225</t>
  </si>
  <si>
    <t>C226</t>
  </si>
  <si>
    <t>C227</t>
  </si>
  <si>
    <t>C229</t>
  </si>
  <si>
    <t>C230</t>
  </si>
  <si>
    <t>C231</t>
  </si>
  <si>
    <t>C232</t>
  </si>
  <si>
    <t>C233</t>
  </si>
  <si>
    <t>C234</t>
  </si>
  <si>
    <t>C235</t>
  </si>
  <si>
    <t>C154</t>
  </si>
  <si>
    <t>C155</t>
  </si>
  <si>
    <t>C156</t>
  </si>
  <si>
    <t>C160</t>
  </si>
  <si>
    <t>C168</t>
  </si>
  <si>
    <t>C152</t>
  </si>
  <si>
    <t>C153</t>
  </si>
  <si>
    <t>C157</t>
  </si>
  <si>
    <t>C158</t>
  </si>
  <si>
    <t>C159</t>
  </si>
  <si>
    <t>C161</t>
  </si>
  <si>
    <t>C162</t>
  </si>
  <si>
    <t>C163</t>
  </si>
  <si>
    <t>C164</t>
  </si>
  <si>
    <t>C165</t>
  </si>
  <si>
    <t>C166</t>
  </si>
  <si>
    <t>C167</t>
  </si>
  <si>
    <t>C374</t>
  </si>
  <si>
    <t>C375</t>
  </si>
  <si>
    <t>C376</t>
  </si>
  <si>
    <t>C377</t>
  </si>
  <si>
    <r>
      <t>GROUP</t>
    </r>
    <r>
      <rPr>
        <b/>
        <sz val="11"/>
        <rFont val="Arial"/>
        <family val="2"/>
      </rPr>
      <t>1</t>
    </r>
  </si>
  <si>
    <t>COLUMNS</t>
  </si>
  <si>
    <t>B(mm)</t>
  </si>
  <si>
    <t>H(mm)</t>
  </si>
  <si>
    <t>COLUMNS NICKS</t>
  </si>
  <si>
    <t>L(m)</t>
  </si>
  <si>
    <t>REINFORSMENT</t>
  </si>
  <si>
    <t>STIRUPS</t>
  </si>
  <si>
    <r>
      <t>GROUP</t>
    </r>
    <r>
      <rPr>
        <b/>
        <sz val="11"/>
        <rFont val="Arial"/>
        <family val="2"/>
      </rPr>
      <t>2</t>
    </r>
    <r>
      <rPr>
        <sz val="11"/>
        <color theme="1"/>
        <rFont val="Arial"/>
        <family val="2"/>
        <charset val="178"/>
        <scheme val="minor"/>
      </rPr>
      <t/>
    </r>
  </si>
  <si>
    <r>
      <t>GROUP</t>
    </r>
    <r>
      <rPr>
        <b/>
        <sz val="11"/>
        <rFont val="Arial"/>
        <family val="2"/>
      </rPr>
      <t>3</t>
    </r>
    <r>
      <rPr>
        <sz val="11"/>
        <color theme="1"/>
        <rFont val="Arial"/>
        <family val="2"/>
        <charset val="178"/>
        <scheme val="minor"/>
      </rPr>
      <t/>
    </r>
  </si>
  <si>
    <t>STORY</t>
  </si>
  <si>
    <t>BASEMENT</t>
  </si>
  <si>
    <t>GROUP1</t>
  </si>
  <si>
    <t>Use Φ10@110mm</t>
  </si>
  <si>
    <t>GROUP2</t>
  </si>
  <si>
    <t>Use Φ10@100mm</t>
  </si>
  <si>
    <t>GROUP3</t>
  </si>
  <si>
    <t>C2 C3 C7 C17 C4 C5 C6 C10</t>
  </si>
  <si>
    <t>C8 C11 C12 C13 C14 C15 C16</t>
  </si>
  <si>
    <t>GROUP</t>
  </si>
  <si>
    <t>C9 C18</t>
  </si>
  <si>
    <t>C222 C223 C224 C228 C220 C221 C225 C235</t>
  </si>
  <si>
    <t>C236 C229 C230 C231 C232 C233 C234</t>
  </si>
  <si>
    <t>C226 C227</t>
  </si>
  <si>
    <t>C154 C155 C156 C160 C152 C153 C157 C167</t>
  </si>
  <si>
    <t>C168 C159</t>
  </si>
  <si>
    <t>C158 C161 C162 C163 C164 C165 C166</t>
  </si>
  <si>
    <t>C374C375C376C377</t>
  </si>
  <si>
    <t>REINF.</t>
  </si>
  <si>
    <t xml:space="preserve">COLUMNS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</si>
</sst>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name val="Arial"/>
    </font>
    <font>
      <sz val="11"/>
      <color theme="1"/>
      <name val="Arial"/>
      <family val="2"/>
      <charset val="178"/>
      <scheme val="minor"/>
    </font>
    <font>
      <sz val="11"/>
      <color rgb="FF000000"/>
      <name val="Arial"/>
    </font>
    <font>
      <sz val="14"/>
      <color rgb="FFF2DCDB"/>
      <name val="Arial"/>
      <charset val="178"/>
    </font>
    <font>
      <sz val="11"/>
      <color rgb="FFFFFF00"/>
      <name val="Calibri"/>
    </font>
    <font>
      <b/>
      <sz val="11"/>
      <color rgb="FFFFFF00"/>
      <name val="Bodoni MT"/>
    </font>
    <font>
      <sz val="11"/>
      <color rgb="FFFFFF00"/>
      <name val="Bodoni MT"/>
    </font>
    <font>
      <sz val="14"/>
      <color rgb="FFFFFF00"/>
      <name val="Calibri"/>
    </font>
    <font>
      <b/>
      <sz val="9"/>
      <name val="Times New Roman"/>
    </font>
    <font>
      <sz val="11"/>
      <color rgb="FF000000"/>
      <name val="Bodoni MT"/>
    </font>
    <font>
      <sz val="11"/>
      <color rgb="FF000000"/>
      <name val="Calibri"/>
    </font>
    <font>
      <sz val="12"/>
      <name val="Times New Roman"/>
    </font>
    <font>
      <b/>
      <sz val="11"/>
      <color rgb="FFFF0000"/>
      <name val="Bodoni MT"/>
    </font>
    <font>
      <sz val="11"/>
      <name val="Arial"/>
    </font>
    <font>
      <sz val="11"/>
      <color rgb="FF000000"/>
      <name val="Bodoni MT"/>
    </font>
    <font>
      <b/>
      <sz val="11"/>
      <color rgb="FFFF0000"/>
      <name val="Bodoni MT"/>
    </font>
    <font>
      <sz val="11"/>
      <name val="Arial"/>
    </font>
    <font>
      <sz val="11"/>
      <name val="Arial"/>
    </font>
    <font>
      <sz val="11"/>
      <color rgb="FF000000"/>
      <name val="Bodoni MT"/>
    </font>
    <font>
      <b/>
      <sz val="11"/>
      <color rgb="FFFF0000"/>
      <name val="Bodoni MT"/>
    </font>
    <font>
      <sz val="14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sz val="20"/>
      <color rgb="FF000000"/>
      <name val="Bodoni MT"/>
    </font>
    <font>
      <sz val="8"/>
      <color rgb="FF000000"/>
      <name val="Bodoni MT"/>
    </font>
    <font>
      <sz val="12"/>
      <color rgb="FF000000"/>
      <name val="Bodoni MT"/>
    </font>
    <font>
      <sz val="16"/>
      <color rgb="FF000000"/>
      <name val="Bodoni MT"/>
    </font>
    <font>
      <b/>
      <i/>
      <sz val="12"/>
      <name val="Times New Roman"/>
    </font>
    <font>
      <b/>
      <sz val="11"/>
      <color rgb="FF1F4A7E"/>
      <name val="Bodoni MT"/>
    </font>
    <font>
      <b/>
      <sz val="16"/>
      <color rgb="FFFF0000"/>
      <name val="Malgun Gothic"/>
    </font>
    <font>
      <vertAlign val="subscript"/>
      <sz val="14"/>
      <color rgb="FFFFFF00"/>
      <name val="Bodoni MT"/>
    </font>
    <font>
      <b/>
      <sz val="14"/>
      <color rgb="FFFFFF00"/>
      <name val="Calibri"/>
    </font>
    <font>
      <sz val="8"/>
      <color rgb="FFFFFF00"/>
      <name val="Bodoni MT"/>
    </font>
    <font>
      <b/>
      <sz val="12"/>
      <color rgb="FFFFFF00"/>
      <name val="Bodoni MT"/>
    </font>
    <font>
      <b/>
      <sz val="9"/>
      <color rgb="FFFFFF00"/>
      <name val="Bodoni MT"/>
    </font>
    <font>
      <sz val="14"/>
      <color rgb="FFFFFF00"/>
      <name val="Bodoni MT"/>
    </font>
    <font>
      <sz val="10"/>
      <color rgb="FFFFFF00"/>
      <name val="Bodoni MT"/>
    </font>
    <font>
      <sz val="11"/>
      <color rgb="FF000000"/>
      <name val="Arial"/>
      <family val="2"/>
      <charset val="178"/>
    </font>
    <font>
      <b/>
      <sz val="11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642523"/>
        <bgColor indexed="64"/>
      </patternFill>
    </fill>
    <fill>
      <patternFill patternType="solid">
        <fgColor rgb="FF2B100F"/>
        <bgColor indexed="64"/>
      </patternFill>
    </fill>
    <fill>
      <patternFill patternType="none"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99CCFF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rgb="FFE6B9B8"/>
      </top>
      <bottom/>
      <diagonal/>
    </border>
    <border>
      <left/>
      <right style="thin">
        <color indexed="64"/>
      </right>
      <top style="double">
        <color rgb="FFE6B9B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64252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642523"/>
      </left>
      <right/>
      <top style="double">
        <color rgb="FF642523"/>
      </top>
      <bottom/>
      <diagonal/>
    </border>
    <border>
      <left/>
      <right style="double">
        <color rgb="FF642523"/>
      </right>
      <top style="double">
        <color rgb="FF642523"/>
      </top>
      <bottom/>
      <diagonal/>
    </border>
    <border>
      <left style="double">
        <color rgb="FF642523"/>
      </left>
      <right style="double">
        <color rgb="FF642523"/>
      </right>
      <top style="double">
        <color rgb="FF642523"/>
      </top>
      <bottom style="double">
        <color rgb="FF642523"/>
      </bottom>
      <diagonal/>
    </border>
    <border>
      <left/>
      <right/>
      <top/>
      <bottom style="double">
        <color rgb="FF642523"/>
      </bottom>
      <diagonal/>
    </border>
    <border>
      <left/>
      <right style="thin">
        <color indexed="64"/>
      </right>
      <top/>
      <bottom style="double">
        <color rgb="FF6425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642523"/>
      </left>
      <right/>
      <top/>
      <bottom/>
      <diagonal/>
    </border>
    <border>
      <left style="double">
        <color rgb="FF642523"/>
      </left>
      <right style="double">
        <color rgb="FF642523"/>
      </right>
      <top style="double">
        <color rgb="FF642523"/>
      </top>
      <bottom/>
      <diagonal/>
    </border>
    <border>
      <left style="double">
        <color rgb="FF64252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642523"/>
      </right>
      <top/>
      <bottom/>
      <diagonal/>
    </border>
    <border>
      <left/>
      <right/>
      <top style="double">
        <color rgb="FF642523"/>
      </top>
      <bottom/>
      <diagonal/>
    </border>
    <border>
      <left style="double">
        <color rgb="FF642523"/>
      </left>
      <right/>
      <top style="double">
        <color rgb="FF642523"/>
      </top>
      <bottom style="double">
        <color rgb="FF642523"/>
      </bottom>
      <diagonal/>
    </border>
    <border>
      <left/>
      <right/>
      <top style="double">
        <color rgb="FF642523"/>
      </top>
      <bottom style="double">
        <color rgb="FF642523"/>
      </bottom>
      <diagonal/>
    </border>
    <border>
      <left/>
      <right style="double">
        <color rgb="FF642523"/>
      </right>
      <top style="double">
        <color rgb="FF642523"/>
      </top>
      <bottom style="double">
        <color rgb="FF642523"/>
      </bottom>
      <diagonal/>
    </border>
    <border>
      <left style="double">
        <color rgb="FF642523"/>
      </left>
      <right/>
      <top/>
      <bottom style="double">
        <color rgb="FF642523"/>
      </bottom>
      <diagonal/>
    </border>
    <border>
      <left/>
      <right style="double">
        <color rgb="FF642523"/>
      </right>
      <top/>
      <bottom style="double">
        <color rgb="FF6425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642523"/>
      </left>
      <right style="double">
        <color rgb="FF642523"/>
      </right>
      <top/>
      <bottom style="double">
        <color rgb="FF6425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642523"/>
      </left>
      <right style="double">
        <color rgb="FF642523"/>
      </right>
      <top/>
      <bottom/>
      <diagonal/>
    </border>
    <border>
      <left style="double">
        <color rgb="FF642523"/>
      </left>
      <right style="double">
        <color rgb="FF642523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66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5" xfId="0" applyFont="1" applyBorder="1" applyAlignment="1"/>
    <xf numFmtId="0" fontId="4" fillId="3" borderId="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1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left" vertical="top"/>
    </xf>
    <xf numFmtId="0" fontId="8" fillId="4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2" fillId="5" borderId="0" xfId="0" applyFont="1" applyFill="1" applyAlignment="1"/>
    <xf numFmtId="0" fontId="10" fillId="7" borderId="23" xfId="0" applyFont="1" applyFill="1" applyBorder="1" applyAlignment="1">
      <alignment horizontal="left" vertical="top"/>
    </xf>
    <xf numFmtId="0" fontId="10" fillId="8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28" xfId="0" applyFont="1" applyFill="1" applyBorder="1" applyAlignment="1"/>
    <xf numFmtId="0" fontId="12" fillId="0" borderId="30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2" fillId="0" borderId="28" xfId="0" applyFont="1" applyBorder="1" applyAlignment="1"/>
    <xf numFmtId="0" fontId="2" fillId="6" borderId="0" xfId="0" applyFont="1" applyFill="1" applyAlignment="1"/>
    <xf numFmtId="0" fontId="2" fillId="11" borderId="0" xfId="0" applyFont="1" applyFill="1" applyAlignment="1"/>
    <xf numFmtId="0" fontId="2" fillId="12" borderId="0" xfId="0" applyFont="1" applyFill="1" applyAlignment="1"/>
    <xf numFmtId="0" fontId="13" fillId="13" borderId="0" xfId="0" applyFont="1" applyFill="1">
      <alignment vertical="center"/>
    </xf>
    <xf numFmtId="0" fontId="10" fillId="14" borderId="23" xfId="0" applyFont="1" applyFill="1" applyBorder="1" applyAlignment="1">
      <alignment horizontal="left" vertical="top"/>
    </xf>
    <xf numFmtId="0" fontId="11" fillId="13" borderId="0" xfId="0" applyFont="1" applyFill="1" applyBorder="1" applyAlignment="1">
      <alignment horizontal="center" vertical="center"/>
    </xf>
    <xf numFmtId="0" fontId="2" fillId="13" borderId="0" xfId="0" applyFont="1" applyFill="1" applyAlignment="1"/>
    <xf numFmtId="0" fontId="4" fillId="14" borderId="10" xfId="0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horizontal="center" vertical="center"/>
    </xf>
    <xf numFmtId="0" fontId="2" fillId="13" borderId="0" xfId="0" applyFont="1" applyFill="1" applyBorder="1" applyAlignment="1"/>
    <xf numFmtId="0" fontId="14" fillId="13" borderId="28" xfId="0" applyFont="1" applyFill="1" applyBorder="1" applyAlignment="1">
      <alignment horizontal="center"/>
    </xf>
    <xf numFmtId="0" fontId="15" fillId="13" borderId="28" xfId="0" applyFont="1" applyFill="1" applyBorder="1" applyAlignment="1">
      <alignment horizontal="center"/>
    </xf>
    <xf numFmtId="0" fontId="2" fillId="13" borderId="3" xfId="0" applyFont="1" applyFill="1" applyBorder="1" applyAlignment="1"/>
    <xf numFmtId="0" fontId="2" fillId="13" borderId="15" xfId="0" applyFont="1" applyFill="1" applyBorder="1" applyAlignment="1"/>
    <xf numFmtId="0" fontId="2" fillId="13" borderId="28" xfId="0" applyFont="1" applyFill="1" applyBorder="1" applyAlignment="1"/>
    <xf numFmtId="0" fontId="2" fillId="0" borderId="0" xfId="0" applyFont="1" applyFill="1" applyBorder="1" applyAlignment="1"/>
    <xf numFmtId="0" fontId="16" fillId="15" borderId="0" xfId="0" applyFont="1" applyFill="1">
      <alignment vertical="center"/>
    </xf>
    <xf numFmtId="0" fontId="10" fillId="15" borderId="23" xfId="0" applyFont="1" applyFill="1" applyBorder="1" applyAlignment="1">
      <alignment horizontal="left" vertical="top"/>
    </xf>
    <xf numFmtId="0" fontId="10" fillId="15" borderId="10" xfId="0" applyFont="1" applyFill="1" applyBorder="1" applyAlignment="1">
      <alignment horizontal="center" vertical="center"/>
    </xf>
    <xf numFmtId="0" fontId="11" fillId="15" borderId="0" xfId="0" applyFont="1" applyFill="1" applyBorder="1" applyAlignment="1">
      <alignment horizontal="center" vertical="center"/>
    </xf>
    <xf numFmtId="0" fontId="2" fillId="15" borderId="28" xfId="0" applyFont="1" applyFill="1" applyBorder="1" applyAlignment="1"/>
    <xf numFmtId="0" fontId="2" fillId="15" borderId="0" xfId="0" applyFont="1" applyFill="1" applyAlignment="1"/>
    <xf numFmtId="0" fontId="4" fillId="15" borderId="10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/>
    <xf numFmtId="0" fontId="12" fillId="15" borderId="30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5" borderId="20" xfId="0" applyFont="1" applyFill="1" applyBorder="1" applyAlignment="1">
      <alignment horizontal="center"/>
    </xf>
    <xf numFmtId="0" fontId="14" fillId="15" borderId="28" xfId="0" applyFont="1" applyFill="1" applyBorder="1" applyAlignment="1">
      <alignment horizontal="center"/>
    </xf>
    <xf numFmtId="0" fontId="15" fillId="15" borderId="28" xfId="0" applyFont="1" applyFill="1" applyBorder="1" applyAlignment="1">
      <alignment horizontal="center"/>
    </xf>
    <xf numFmtId="0" fontId="2" fillId="15" borderId="3" xfId="0" applyFont="1" applyFill="1" applyBorder="1" applyAlignment="1"/>
    <xf numFmtId="0" fontId="2" fillId="15" borderId="15" xfId="0" applyFont="1" applyFill="1" applyBorder="1" applyAlignment="1"/>
    <xf numFmtId="0" fontId="13" fillId="15" borderId="0" xfId="0" applyFont="1" applyFill="1">
      <alignment vertical="center"/>
    </xf>
    <xf numFmtId="0" fontId="9" fillId="15" borderId="28" xfId="0" applyFont="1" applyFill="1" applyBorder="1" applyAlignment="1">
      <alignment horizontal="center"/>
    </xf>
    <xf numFmtId="0" fontId="12" fillId="15" borderId="28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/>
    <xf numFmtId="0" fontId="2" fillId="0" borderId="0" xfId="0" applyFont="1" applyAlignment="1">
      <alignment horizontal="center"/>
    </xf>
    <xf numFmtId="0" fontId="10" fillId="7" borderId="23" xfId="0" applyFont="1" applyFill="1" applyBorder="1" applyAlignment="1">
      <alignment vertical="top"/>
    </xf>
    <xf numFmtId="0" fontId="10" fillId="7" borderId="25" xfId="0" applyFont="1" applyFill="1" applyBorder="1" applyAlignment="1">
      <alignment vertical="top"/>
    </xf>
    <xf numFmtId="0" fontId="37" fillId="18" borderId="0" xfId="0" applyFont="1" applyFill="1" applyBorder="1" applyAlignment="1"/>
    <xf numFmtId="0" fontId="37" fillId="18" borderId="0" xfId="0" applyFont="1" applyFill="1" applyBorder="1" applyAlignment="1">
      <alignment horizontal="center" vertical="center"/>
    </xf>
    <xf numFmtId="0" fontId="10" fillId="19" borderId="23" xfId="0" applyFont="1" applyFill="1" applyBorder="1" applyAlignment="1">
      <alignment horizontal="left" vertical="top"/>
    </xf>
    <xf numFmtId="0" fontId="0" fillId="19" borderId="0" xfId="0" applyFill="1" applyAlignment="1">
      <alignment horizontal="center" vertical="center"/>
    </xf>
    <xf numFmtId="0" fontId="37" fillId="20" borderId="0" xfId="0" applyFont="1" applyFill="1" applyBorder="1" applyAlignment="1">
      <alignment horizontal="center" vertical="center"/>
    </xf>
    <xf numFmtId="0" fontId="10" fillId="19" borderId="10" xfId="0" applyFont="1" applyFill="1" applyBorder="1" applyAlignment="1">
      <alignment horizontal="center" vertical="center"/>
    </xf>
    <xf numFmtId="0" fontId="11" fillId="19" borderId="0" xfId="0" applyFont="1" applyFill="1" applyBorder="1" applyAlignment="1">
      <alignment horizontal="center" vertical="center"/>
    </xf>
    <xf numFmtId="0" fontId="2" fillId="19" borderId="28" xfId="0" applyFont="1" applyFill="1" applyBorder="1" applyAlignment="1"/>
    <xf numFmtId="0" fontId="2" fillId="19" borderId="0" xfId="0" applyFont="1" applyFill="1" applyAlignment="1"/>
    <xf numFmtId="0" fontId="4" fillId="19" borderId="10" xfId="0" applyFont="1" applyFill="1" applyBorder="1" applyAlignment="1">
      <alignment horizontal="center" vertical="center" wrapText="1"/>
    </xf>
    <xf numFmtId="0" fontId="2" fillId="19" borderId="0" xfId="0" applyFont="1" applyFill="1" applyBorder="1" applyAlignment="1"/>
    <xf numFmtId="0" fontId="12" fillId="19" borderId="30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8" fillId="19" borderId="28" xfId="0" applyFont="1" applyFill="1" applyBorder="1" applyAlignment="1">
      <alignment horizontal="center"/>
    </xf>
    <xf numFmtId="0" fontId="19" fillId="19" borderId="28" xfId="0" applyFont="1" applyFill="1" applyBorder="1" applyAlignment="1">
      <alignment horizontal="center"/>
    </xf>
    <xf numFmtId="0" fontId="2" fillId="19" borderId="3" xfId="0" applyFont="1" applyFill="1" applyBorder="1" applyAlignment="1"/>
    <xf numFmtId="0" fontId="2" fillId="19" borderId="15" xfId="0" applyFont="1" applyFill="1" applyBorder="1" applyAlignment="1"/>
    <xf numFmtId="0" fontId="17" fillId="19" borderId="0" xfId="0" applyFont="1" applyFill="1">
      <alignment vertical="center"/>
    </xf>
    <xf numFmtId="0" fontId="10" fillId="19" borderId="23" xfId="0" applyFont="1" applyFill="1" applyBorder="1" applyAlignment="1">
      <alignment vertical="top"/>
    </xf>
    <xf numFmtId="0" fontId="15" fillId="19" borderId="30" xfId="0" applyFont="1" applyFill="1" applyBorder="1" applyAlignment="1">
      <alignment horizontal="center"/>
    </xf>
    <xf numFmtId="0" fontId="15" fillId="19" borderId="19" xfId="0" applyFont="1" applyFill="1" applyBorder="1" applyAlignment="1">
      <alignment horizontal="center"/>
    </xf>
    <xf numFmtId="0" fontId="14" fillId="19" borderId="28" xfId="0" applyFont="1" applyFill="1" applyBorder="1" applyAlignment="1">
      <alignment horizontal="center"/>
    </xf>
    <xf numFmtId="0" fontId="15" fillId="19" borderId="28" xfId="0" applyFont="1" applyFill="1" applyBorder="1" applyAlignment="1">
      <alignment horizontal="center"/>
    </xf>
    <xf numFmtId="0" fontId="13" fillId="19" borderId="0" xfId="0" applyFont="1" applyFill="1">
      <alignment vertical="center"/>
    </xf>
    <xf numFmtId="0" fontId="10" fillId="19" borderId="23" xfId="0" applyFont="1" applyFill="1" applyBorder="1">
      <alignment vertical="center"/>
    </xf>
    <xf numFmtId="0" fontId="10" fillId="19" borderId="25" xfId="0" applyFont="1" applyFill="1" applyBorder="1">
      <alignment vertical="center"/>
    </xf>
    <xf numFmtId="0" fontId="15" fillId="19" borderId="20" xfId="0" applyFont="1" applyFill="1" applyBorder="1" applyAlignment="1">
      <alignment horizontal="center"/>
    </xf>
    <xf numFmtId="0" fontId="37" fillId="20" borderId="0" xfId="0" applyFont="1" applyFill="1" applyBorder="1" applyAlignment="1"/>
    <xf numFmtId="0" fontId="10" fillId="21" borderId="23" xfId="0" applyFont="1" applyFill="1" applyBorder="1" applyAlignment="1">
      <alignment horizontal="left" vertical="top"/>
    </xf>
    <xf numFmtId="0" fontId="12" fillId="21" borderId="30" xfId="0" applyFont="1" applyFill="1" applyBorder="1" applyAlignment="1">
      <alignment horizontal="center"/>
    </xf>
    <xf numFmtId="0" fontId="12" fillId="21" borderId="19" xfId="0" applyFont="1" applyFill="1" applyBorder="1" applyAlignment="1">
      <alignment horizontal="center"/>
    </xf>
    <xf numFmtId="0" fontId="12" fillId="21" borderId="20" xfId="0" applyFont="1" applyFill="1" applyBorder="1" applyAlignment="1">
      <alignment horizontal="center"/>
    </xf>
    <xf numFmtId="0" fontId="9" fillId="21" borderId="28" xfId="0" applyFont="1" applyFill="1" applyBorder="1" applyAlignment="1">
      <alignment horizontal="center"/>
    </xf>
    <xf numFmtId="0" fontId="0" fillId="21" borderId="0" xfId="0" applyFill="1">
      <alignment vertical="center"/>
    </xf>
    <xf numFmtId="0" fontId="0" fillId="17" borderId="0" xfId="0" applyFill="1">
      <alignment vertical="center"/>
    </xf>
    <xf numFmtId="0" fontId="10" fillId="22" borderId="23" xfId="0" applyFont="1" applyFill="1" applyBorder="1" applyAlignment="1">
      <alignment horizontal="left" vertical="top"/>
    </xf>
    <xf numFmtId="0" fontId="12" fillId="22" borderId="30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9" fillId="22" borderId="28" xfId="0" applyFont="1" applyFill="1" applyBorder="1" applyAlignment="1">
      <alignment horizont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10" fillId="0" borderId="23" xfId="0" applyFont="1" applyFill="1" applyBorder="1" applyAlignment="1">
      <alignment horizontal="left" vertical="top"/>
    </xf>
    <xf numFmtId="0" fontId="37" fillId="0" borderId="0" xfId="0" applyFont="1" applyFill="1" applyBorder="1" applyAlignment="1"/>
    <xf numFmtId="0" fontId="10" fillId="0" borderId="10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4" fillId="0" borderId="10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2" fillId="0" borderId="3" xfId="0" applyFont="1" applyFill="1" applyBorder="1" applyAlignment="1"/>
    <xf numFmtId="0" fontId="2" fillId="0" borderId="15" xfId="0" applyFont="1" applyFill="1" applyBorder="1" applyAlignment="1"/>
    <xf numFmtId="0" fontId="0" fillId="0" borderId="0" xfId="0" applyFill="1">
      <alignment vertical="center"/>
    </xf>
    <xf numFmtId="0" fontId="37" fillId="0" borderId="0" xfId="0" applyFont="1" applyFill="1" applyBorder="1" applyAlignment="1">
      <alignment horizontal="center" vertical="center"/>
    </xf>
    <xf numFmtId="0" fontId="10" fillId="25" borderId="23" xfId="0" applyFont="1" applyFill="1" applyBorder="1" applyAlignment="1">
      <alignment horizontal="left" vertical="top"/>
    </xf>
    <xf numFmtId="0" fontId="12" fillId="25" borderId="30" xfId="0" applyFont="1" applyFill="1" applyBorder="1" applyAlignment="1">
      <alignment horizontal="center"/>
    </xf>
    <xf numFmtId="0" fontId="12" fillId="25" borderId="19" xfId="0" applyFont="1" applyFill="1" applyBorder="1" applyAlignment="1">
      <alignment horizontal="center"/>
    </xf>
    <xf numFmtId="0" fontId="12" fillId="25" borderId="20" xfId="0" applyFont="1" applyFill="1" applyBorder="1" applyAlignment="1">
      <alignment horizontal="center"/>
    </xf>
    <xf numFmtId="0" fontId="9" fillId="25" borderId="28" xfId="0" applyFont="1" applyFill="1" applyBorder="1" applyAlignment="1">
      <alignment horizontal="center"/>
    </xf>
    <xf numFmtId="0" fontId="0" fillId="25" borderId="0" xfId="0" applyFill="1">
      <alignment vertical="center"/>
    </xf>
    <xf numFmtId="0" fontId="10" fillId="26" borderId="23" xfId="0" applyFont="1" applyFill="1" applyBorder="1" applyAlignment="1">
      <alignment horizontal="left" vertical="top"/>
    </xf>
    <xf numFmtId="0" fontId="37" fillId="26" borderId="0" xfId="0" applyFont="1" applyFill="1" applyBorder="1" applyAlignment="1"/>
    <xf numFmtId="0" fontId="10" fillId="26" borderId="10" xfId="0" applyFont="1" applyFill="1" applyBorder="1" applyAlignment="1">
      <alignment horizontal="center" vertical="center"/>
    </xf>
    <xf numFmtId="0" fontId="2" fillId="26" borderId="0" xfId="0" applyFont="1" applyFill="1" applyAlignment="1"/>
    <xf numFmtId="0" fontId="2" fillId="26" borderId="28" xfId="0" applyFont="1" applyFill="1" applyBorder="1" applyAlignment="1"/>
    <xf numFmtId="0" fontId="4" fillId="26" borderId="10" xfId="0" applyFont="1" applyFill="1" applyBorder="1" applyAlignment="1">
      <alignment horizontal="center" vertical="center" wrapText="1"/>
    </xf>
    <xf numFmtId="0" fontId="12" fillId="26" borderId="30" xfId="0" applyFont="1" applyFill="1" applyBorder="1" applyAlignment="1">
      <alignment horizontal="center"/>
    </xf>
    <xf numFmtId="0" fontId="12" fillId="26" borderId="19" xfId="0" applyFont="1" applyFill="1" applyBorder="1" applyAlignment="1">
      <alignment horizontal="center"/>
    </xf>
    <xf numFmtId="0" fontId="12" fillId="26" borderId="20" xfId="0" applyFont="1" applyFill="1" applyBorder="1" applyAlignment="1">
      <alignment horizontal="center"/>
    </xf>
    <xf numFmtId="0" fontId="9" fillId="26" borderId="28" xfId="0" applyFont="1" applyFill="1" applyBorder="1" applyAlignment="1">
      <alignment horizontal="center"/>
    </xf>
    <xf numFmtId="0" fontId="12" fillId="26" borderId="28" xfId="0" applyFont="1" applyFill="1" applyBorder="1" applyAlignment="1">
      <alignment horizontal="center"/>
    </xf>
    <xf numFmtId="0" fontId="0" fillId="26" borderId="0" xfId="0" applyFill="1">
      <alignment vertical="center"/>
    </xf>
    <xf numFmtId="0" fontId="10" fillId="0" borderId="25" xfId="0" applyFont="1" applyFill="1" applyBorder="1" applyAlignment="1">
      <alignment vertical="top"/>
    </xf>
    <xf numFmtId="0" fontId="10" fillId="19" borderId="25" xfId="0" applyFont="1" applyFill="1" applyBorder="1" applyAlignment="1">
      <alignment vertical="top"/>
    </xf>
    <xf numFmtId="0" fontId="10" fillId="26" borderId="25" xfId="0" applyFont="1" applyFill="1" applyBorder="1" applyAlignment="1">
      <alignment vertical="top"/>
    </xf>
    <xf numFmtId="0" fontId="4" fillId="3" borderId="16" xfId="0" applyFont="1" applyFill="1" applyBorder="1" applyAlignment="1">
      <alignment horizontal="left" vertical="top"/>
    </xf>
    <xf numFmtId="0" fontId="10" fillId="7" borderId="26" xfId="0" applyFont="1" applyFill="1" applyBorder="1" applyAlignment="1">
      <alignment horizontal="left" vertical="top"/>
    </xf>
    <xf numFmtId="0" fontId="37" fillId="18" borderId="28" xfId="0" applyFont="1" applyFill="1" applyBorder="1" applyAlignment="1">
      <alignment horizontal="center" vertical="center"/>
    </xf>
    <xf numFmtId="0" fontId="37" fillId="0" borderId="28" xfId="0" applyFont="1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37" fillId="20" borderId="28" xfId="0" applyFont="1" applyFill="1" applyBorder="1" applyAlignment="1">
      <alignment horizontal="center" vertical="center"/>
    </xf>
    <xf numFmtId="0" fontId="37" fillId="26" borderId="28" xfId="0" applyFont="1" applyFill="1" applyBorder="1" applyAlignment="1">
      <alignment horizontal="center" vertical="center"/>
    </xf>
    <xf numFmtId="0" fontId="10" fillId="26" borderId="23" xfId="0" applyFont="1" applyFill="1" applyBorder="1" applyAlignment="1">
      <alignment vertical="top"/>
    </xf>
    <xf numFmtId="0" fontId="14" fillId="26" borderId="28" xfId="0" applyFont="1" applyFill="1" applyBorder="1" applyAlignment="1">
      <alignment horizontal="center"/>
    </xf>
    <xf numFmtId="0" fontId="39" fillId="26" borderId="0" xfId="0" applyFont="1" applyFill="1">
      <alignment vertical="center"/>
    </xf>
    <xf numFmtId="0" fontId="0" fillId="26" borderId="0" xfId="0" applyFill="1" applyAlignment="1">
      <alignment horizontal="center" vertical="center"/>
    </xf>
    <xf numFmtId="0" fontId="39" fillId="0" borderId="0" xfId="0" applyFont="1">
      <alignment vertical="center"/>
    </xf>
    <xf numFmtId="0" fontId="40" fillId="0" borderId="0" xfId="0" applyFont="1" applyAlignment="1"/>
    <xf numFmtId="0" fontId="39" fillId="4" borderId="0" xfId="0" applyFont="1" applyFill="1" applyBorder="1">
      <alignment vertical="center"/>
    </xf>
    <xf numFmtId="0" fontId="41" fillId="7" borderId="23" xfId="0" applyFont="1" applyFill="1" applyBorder="1" applyAlignment="1">
      <alignment horizontal="left" vertical="top"/>
    </xf>
    <xf numFmtId="0" fontId="10" fillId="22" borderId="23" xfId="0" applyFont="1" applyFill="1" applyBorder="1" applyAlignment="1">
      <alignment vertical="top"/>
    </xf>
    <xf numFmtId="0" fontId="10" fillId="27" borderId="23" xfId="0" applyFont="1" applyFill="1" applyBorder="1" applyAlignment="1">
      <alignment horizontal="left" vertical="top"/>
    </xf>
    <xf numFmtId="0" fontId="10" fillId="27" borderId="23" xfId="0" applyFont="1" applyFill="1" applyBorder="1" applyAlignment="1">
      <alignment vertical="top"/>
    </xf>
    <xf numFmtId="0" fontId="12" fillId="27" borderId="30" xfId="0" applyFont="1" applyFill="1" applyBorder="1" applyAlignment="1">
      <alignment horizontal="center"/>
    </xf>
    <xf numFmtId="0" fontId="12" fillId="27" borderId="19" xfId="0" applyFont="1" applyFill="1" applyBorder="1" applyAlignment="1">
      <alignment horizontal="center"/>
    </xf>
    <xf numFmtId="0" fontId="12" fillId="27" borderId="20" xfId="0" applyFont="1" applyFill="1" applyBorder="1" applyAlignment="1">
      <alignment horizontal="center"/>
    </xf>
    <xf numFmtId="0" fontId="9" fillId="27" borderId="28" xfId="0" applyFont="1" applyFill="1" applyBorder="1" applyAlignment="1">
      <alignment horizontal="center"/>
    </xf>
    <xf numFmtId="0" fontId="0" fillId="27" borderId="0" xfId="0" applyFill="1">
      <alignment vertical="center"/>
    </xf>
    <xf numFmtId="0" fontId="39" fillId="27" borderId="0" xfId="0" applyFont="1" applyFill="1">
      <alignment vertical="center"/>
    </xf>
    <xf numFmtId="0" fontId="14" fillId="27" borderId="28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8" fillId="0" borderId="5" xfId="0" applyFont="1" applyBorder="1" applyAlignment="1">
      <alignment vertical="center"/>
    </xf>
    <xf numFmtId="0" fontId="38" fillId="0" borderId="44" xfId="0" applyFont="1" applyBorder="1" applyAlignment="1">
      <alignment vertical="center"/>
    </xf>
    <xf numFmtId="0" fontId="0" fillId="22" borderId="0" xfId="0" applyFill="1" applyAlignment="1">
      <alignment horizontal="center" vertical="center"/>
    </xf>
    <xf numFmtId="0" fontId="10" fillId="25" borderId="23" xfId="0" applyFont="1" applyFill="1" applyBorder="1" applyAlignment="1">
      <alignment vertical="top"/>
    </xf>
    <xf numFmtId="0" fontId="0" fillId="25" borderId="0" xfId="0" applyFill="1" applyAlignment="1">
      <alignment horizontal="center" vertical="center"/>
    </xf>
    <xf numFmtId="0" fontId="10" fillId="28" borderId="23" xfId="0" applyFont="1" applyFill="1" applyBorder="1" applyAlignment="1">
      <alignment horizontal="left" vertical="top"/>
    </xf>
    <xf numFmtId="0" fontId="10" fillId="28" borderId="23" xfId="0" applyFont="1" applyFill="1" applyBorder="1" applyAlignment="1">
      <alignment vertical="top"/>
    </xf>
    <xf numFmtId="0" fontId="12" fillId="28" borderId="30" xfId="0" applyFont="1" applyFill="1" applyBorder="1" applyAlignment="1">
      <alignment horizontal="center"/>
    </xf>
    <xf numFmtId="0" fontId="12" fillId="28" borderId="19" xfId="0" applyFont="1" applyFill="1" applyBorder="1" applyAlignment="1">
      <alignment horizontal="center"/>
    </xf>
    <xf numFmtId="0" fontId="12" fillId="28" borderId="20" xfId="0" applyFont="1" applyFill="1" applyBorder="1" applyAlignment="1">
      <alignment horizontal="center"/>
    </xf>
    <xf numFmtId="0" fontId="9" fillId="28" borderId="28" xfId="0" applyFont="1" applyFill="1" applyBorder="1" applyAlignment="1">
      <alignment horizontal="center"/>
    </xf>
    <xf numFmtId="0" fontId="0" fillId="28" borderId="0" xfId="0" applyFill="1">
      <alignment vertical="center"/>
    </xf>
    <xf numFmtId="0" fontId="0" fillId="28" borderId="0" xfId="0" applyFill="1" applyAlignment="1">
      <alignment horizontal="center" vertical="center"/>
    </xf>
    <xf numFmtId="0" fontId="10" fillId="29" borderId="23" xfId="0" applyFont="1" applyFill="1" applyBorder="1" applyAlignment="1">
      <alignment horizontal="left" vertical="top"/>
    </xf>
    <xf numFmtId="0" fontId="10" fillId="29" borderId="23" xfId="0" applyFont="1" applyFill="1" applyBorder="1" applyAlignment="1">
      <alignment vertical="top"/>
    </xf>
    <xf numFmtId="0" fontId="12" fillId="29" borderId="30" xfId="0" applyFont="1" applyFill="1" applyBorder="1" applyAlignment="1">
      <alignment horizontal="center"/>
    </xf>
    <xf numFmtId="0" fontId="12" fillId="29" borderId="19" xfId="0" applyFont="1" applyFill="1" applyBorder="1" applyAlignment="1">
      <alignment horizontal="center"/>
    </xf>
    <xf numFmtId="0" fontId="12" fillId="29" borderId="20" xfId="0" applyFont="1" applyFill="1" applyBorder="1" applyAlignment="1">
      <alignment horizontal="center"/>
    </xf>
    <xf numFmtId="0" fontId="18" fillId="29" borderId="28" xfId="0" applyFont="1" applyFill="1" applyBorder="1" applyAlignment="1">
      <alignment horizontal="center"/>
    </xf>
    <xf numFmtId="0" fontId="0" fillId="29" borderId="0" xfId="0" applyFill="1">
      <alignment vertical="center"/>
    </xf>
    <xf numFmtId="0" fontId="0" fillId="29" borderId="0" xfId="0" applyFill="1" applyAlignment="1">
      <alignment horizontal="center" vertical="center"/>
    </xf>
    <xf numFmtId="0" fontId="9" fillId="29" borderId="28" xfId="0" applyFont="1" applyFill="1" applyBorder="1" applyAlignment="1">
      <alignment horizontal="center"/>
    </xf>
    <xf numFmtId="0" fontId="10" fillId="21" borderId="23" xfId="0" applyFont="1" applyFill="1" applyBorder="1" applyAlignment="1">
      <alignment vertical="top"/>
    </xf>
    <xf numFmtId="0" fontId="0" fillId="21" borderId="0" xfId="0" applyFill="1" applyAlignment="1">
      <alignment horizontal="center" vertical="center"/>
    </xf>
    <xf numFmtId="0" fontId="10" fillId="30" borderId="23" xfId="0" applyFont="1" applyFill="1" applyBorder="1" applyAlignment="1">
      <alignment horizontal="left" vertical="top"/>
    </xf>
    <xf numFmtId="0" fontId="10" fillId="30" borderId="23" xfId="0" applyFont="1" applyFill="1" applyBorder="1" applyAlignment="1">
      <alignment vertical="top"/>
    </xf>
    <xf numFmtId="0" fontId="12" fillId="30" borderId="30" xfId="0" applyFont="1" applyFill="1" applyBorder="1" applyAlignment="1">
      <alignment horizontal="center"/>
    </xf>
    <xf numFmtId="0" fontId="12" fillId="30" borderId="19" xfId="0" applyFont="1" applyFill="1" applyBorder="1" applyAlignment="1">
      <alignment horizontal="center"/>
    </xf>
    <xf numFmtId="0" fontId="12" fillId="30" borderId="20" xfId="0" applyFont="1" applyFill="1" applyBorder="1" applyAlignment="1">
      <alignment horizontal="center"/>
    </xf>
    <xf numFmtId="0" fontId="9" fillId="30" borderId="28" xfId="0" applyFont="1" applyFill="1" applyBorder="1" applyAlignment="1">
      <alignment horizontal="center"/>
    </xf>
    <xf numFmtId="0" fontId="0" fillId="30" borderId="0" xfId="0" applyFill="1">
      <alignment vertical="center"/>
    </xf>
    <xf numFmtId="0" fontId="0" fillId="30" borderId="0" xfId="0" applyFill="1" applyAlignment="1">
      <alignment horizontal="center" vertical="center"/>
    </xf>
    <xf numFmtId="0" fontId="0" fillId="26" borderId="0" xfId="0" applyFill="1" applyAlignment="1">
      <alignment vertical="center"/>
    </xf>
    <xf numFmtId="0" fontId="14" fillId="30" borderId="28" xfId="0" applyFont="1" applyFill="1" applyBorder="1" applyAlignment="1">
      <alignment horizontal="center"/>
    </xf>
    <xf numFmtId="0" fontId="9" fillId="19" borderId="28" xfId="0" applyFont="1" applyFill="1" applyBorder="1" applyAlignment="1">
      <alignment horizontal="center"/>
    </xf>
    <xf numFmtId="0" fontId="0" fillId="19" borderId="0" xfId="0" applyFill="1">
      <alignment vertical="center"/>
    </xf>
    <xf numFmtId="0" fontId="0" fillId="31" borderId="0" xfId="0" applyFill="1">
      <alignment vertical="center"/>
    </xf>
    <xf numFmtId="0" fontId="38" fillId="0" borderId="38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38" fillId="32" borderId="28" xfId="0" applyFont="1" applyFill="1" applyBorder="1" applyAlignment="1">
      <alignment horizontal="center" vertical="center"/>
    </xf>
    <xf numFmtId="0" fontId="38" fillId="32" borderId="28" xfId="0" applyFont="1" applyFill="1" applyBorder="1" applyAlignment="1">
      <alignment horizontal="center" vertical="center" wrapText="1"/>
    </xf>
    <xf numFmtId="0" fontId="42" fillId="19" borderId="0" xfId="0" applyFont="1" applyFill="1">
      <alignment vertical="center"/>
    </xf>
    <xf numFmtId="0" fontId="42" fillId="19" borderId="0" xfId="0" applyFont="1" applyFill="1" applyAlignment="1">
      <alignment horizontal="center" vertical="center"/>
    </xf>
    <xf numFmtId="0" fontId="38" fillId="31" borderId="0" xfId="0" applyFont="1" applyFill="1" applyAlignment="1">
      <alignment horizontal="center" vertical="center"/>
    </xf>
    <xf numFmtId="0" fontId="0" fillId="19" borderId="46" xfId="0" applyFill="1" applyBorder="1">
      <alignment vertical="center"/>
    </xf>
    <xf numFmtId="0" fontId="42" fillId="19" borderId="47" xfId="0" applyFont="1" applyFill="1" applyBorder="1">
      <alignment vertical="center"/>
    </xf>
    <xf numFmtId="0" fontId="42" fillId="19" borderId="47" xfId="0" applyFont="1" applyFill="1" applyBorder="1" applyAlignment="1">
      <alignment horizontal="center" vertical="center"/>
    </xf>
    <xf numFmtId="0" fontId="0" fillId="23" borderId="48" xfId="0" applyFill="1" applyBorder="1">
      <alignment vertical="center"/>
    </xf>
    <xf numFmtId="0" fontId="0" fillId="17" borderId="49" xfId="0" applyFill="1" applyBorder="1">
      <alignment vertical="center"/>
    </xf>
    <xf numFmtId="0" fontId="38" fillId="31" borderId="50" xfId="0" applyFont="1" applyFill="1" applyBorder="1" applyAlignment="1">
      <alignment horizontal="center" vertical="center"/>
    </xf>
    <xf numFmtId="0" fontId="0" fillId="17" borderId="51" xfId="0" applyFill="1" applyBorder="1">
      <alignment vertical="center"/>
    </xf>
    <xf numFmtId="0" fontId="38" fillId="32" borderId="38" xfId="0" applyFont="1" applyFill="1" applyBorder="1" applyAlignment="1">
      <alignment horizontal="center" vertical="center"/>
    </xf>
    <xf numFmtId="0" fontId="38" fillId="31" borderId="52" xfId="0" applyFont="1" applyFill="1" applyBorder="1" applyAlignment="1">
      <alignment horizontal="center" vertical="center"/>
    </xf>
    <xf numFmtId="0" fontId="45" fillId="0" borderId="33" xfId="0" applyFont="1" applyFill="1" applyBorder="1" applyAlignment="1">
      <alignment horizontal="center" vertical="center"/>
    </xf>
    <xf numFmtId="0" fontId="45" fillId="0" borderId="34" xfId="0" applyFont="1" applyFill="1" applyBorder="1" applyAlignment="1">
      <alignment horizontal="center" vertical="center"/>
    </xf>
    <xf numFmtId="0" fontId="45" fillId="0" borderId="35" xfId="0" applyFont="1" applyFill="1" applyBorder="1" applyAlignment="1">
      <alignment horizontal="center" vertical="center"/>
    </xf>
    <xf numFmtId="0" fontId="45" fillId="0" borderId="28" xfId="0" applyFont="1" applyFill="1" applyBorder="1" applyAlignment="1">
      <alignment horizontal="center" vertical="center"/>
    </xf>
    <xf numFmtId="0" fontId="45" fillId="0" borderId="28" xfId="0" applyFont="1" applyFill="1" applyBorder="1" applyAlignment="1">
      <alignment horizontal="center" vertical="center" wrapText="1"/>
    </xf>
    <xf numFmtId="0" fontId="45" fillId="0" borderId="36" xfId="0" applyFont="1" applyFill="1" applyBorder="1" applyAlignment="1">
      <alignment horizontal="center" vertical="center"/>
    </xf>
    <xf numFmtId="0" fontId="45" fillId="0" borderId="38" xfId="0" applyFont="1" applyFill="1" applyBorder="1" applyAlignment="1">
      <alignment horizontal="center" vertical="center"/>
    </xf>
    <xf numFmtId="0" fontId="45" fillId="0" borderId="39" xfId="0" applyFont="1" applyFill="1" applyBorder="1" applyAlignment="1">
      <alignment horizontal="center" vertical="center"/>
    </xf>
    <xf numFmtId="0" fontId="45" fillId="0" borderId="41" xfId="0" applyFont="1" applyFill="1" applyBorder="1" applyAlignment="1">
      <alignment horizontal="center" vertical="center" textRotation="45"/>
    </xf>
    <xf numFmtId="0" fontId="45" fillId="0" borderId="5" xfId="0" applyFont="1" applyFill="1" applyBorder="1" applyAlignment="1">
      <alignment horizontal="center" vertical="center"/>
    </xf>
    <xf numFmtId="0" fontId="45" fillId="0" borderId="56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textRotation="45"/>
    </xf>
    <xf numFmtId="0" fontId="45" fillId="0" borderId="0" xfId="0" applyFont="1" applyFill="1" applyBorder="1" applyAlignment="1">
      <alignment horizontal="center" vertical="center"/>
    </xf>
    <xf numFmtId="0" fontId="45" fillId="0" borderId="41" xfId="0" applyFont="1" applyFill="1" applyBorder="1" applyAlignment="1">
      <alignment horizontal="center" vertical="center"/>
    </xf>
    <xf numFmtId="0" fontId="45" fillId="0" borderId="43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5" fillId="0" borderId="57" xfId="0" applyFont="1" applyFill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38" fillId="32" borderId="59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16" borderId="31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4" fillId="16" borderId="17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/>
    </xf>
    <xf numFmtId="0" fontId="10" fillId="14" borderId="31" xfId="0" applyFont="1" applyFill="1" applyBorder="1" applyAlignment="1">
      <alignment horizontal="center" vertical="center"/>
    </xf>
    <xf numFmtId="0" fontId="4" fillId="14" borderId="31" xfId="0" applyFont="1" applyFill="1" applyBorder="1" applyAlignment="1">
      <alignment horizontal="center" vertical="center" wrapText="1"/>
    </xf>
    <xf numFmtId="0" fontId="10" fillId="14" borderId="29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19" borderId="23" xfId="0" applyFont="1" applyFill="1" applyBorder="1" applyAlignment="1">
      <alignment horizontal="center" vertical="center"/>
    </xf>
    <xf numFmtId="0" fontId="10" fillId="19" borderId="25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center" vertical="center"/>
    </xf>
    <xf numFmtId="0" fontId="10" fillId="15" borderId="25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/>
    </xf>
    <xf numFmtId="0" fontId="4" fillId="14" borderId="3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0" fillId="26" borderId="23" xfId="0" applyFont="1" applyFill="1" applyBorder="1" applyAlignment="1">
      <alignment horizontal="center" vertical="center"/>
    </xf>
    <xf numFmtId="0" fontId="10" fillId="26" borderId="2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10" fillId="14" borderId="3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4" fillId="14" borderId="17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3" fillId="0" borderId="30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38" fillId="0" borderId="45" xfId="0" applyFont="1" applyBorder="1" applyAlignment="1">
      <alignment horizontal="center" vertical="center" textRotation="45"/>
    </xf>
    <xf numFmtId="0" fontId="38" fillId="0" borderId="4" xfId="0" applyFont="1" applyBorder="1" applyAlignment="1">
      <alignment horizontal="center" vertical="center" textRotation="45"/>
    </xf>
    <xf numFmtId="0" fontId="38" fillId="0" borderId="58" xfId="0" applyFont="1" applyBorder="1" applyAlignment="1">
      <alignment horizontal="center" vertical="center" textRotation="45"/>
    </xf>
    <xf numFmtId="0" fontId="38" fillId="0" borderId="40" xfId="0" applyFont="1" applyBorder="1" applyAlignment="1">
      <alignment horizontal="center" vertical="center" textRotation="45"/>
    </xf>
    <xf numFmtId="0" fontId="38" fillId="0" borderId="41" xfId="0" applyFont="1" applyBorder="1" applyAlignment="1">
      <alignment horizontal="center" vertical="center" textRotation="45"/>
    </xf>
    <xf numFmtId="0" fontId="38" fillId="0" borderId="42" xfId="0" applyFont="1" applyBorder="1" applyAlignment="1">
      <alignment horizontal="center" vertical="center" textRotation="45"/>
    </xf>
    <xf numFmtId="0" fontId="38" fillId="0" borderId="5" xfId="0" applyFont="1" applyBorder="1" applyAlignment="1">
      <alignment horizontal="center" vertical="center" textRotation="45"/>
    </xf>
    <xf numFmtId="0" fontId="38" fillId="0" borderId="15" xfId="0" applyFont="1" applyBorder="1" applyAlignment="1">
      <alignment horizontal="center" vertical="center" textRotation="45"/>
    </xf>
    <xf numFmtId="0" fontId="38" fillId="0" borderId="44" xfId="0" applyFont="1" applyBorder="1" applyAlignment="1">
      <alignment horizontal="center" vertical="center" textRotation="45"/>
    </xf>
    <xf numFmtId="0" fontId="38" fillId="0" borderId="43" xfId="0" applyFont="1" applyBorder="1" applyAlignment="1">
      <alignment horizontal="center" vertical="center" textRotation="45"/>
    </xf>
    <xf numFmtId="0" fontId="38" fillId="0" borderId="60" xfId="0" applyFont="1" applyBorder="1" applyAlignment="1">
      <alignment horizontal="center" vertical="center"/>
    </xf>
    <xf numFmtId="0" fontId="38" fillId="0" borderId="61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 vertical="center" textRotation="45"/>
    </xf>
    <xf numFmtId="0" fontId="45" fillId="0" borderId="53" xfId="0" applyFont="1" applyFill="1" applyBorder="1" applyAlignment="1">
      <alignment horizontal="center" vertical="center"/>
    </xf>
    <xf numFmtId="0" fontId="45" fillId="0" borderId="54" xfId="0" applyFont="1" applyFill="1" applyBorder="1" applyAlignment="1">
      <alignment horizontal="center" vertical="center"/>
    </xf>
    <xf numFmtId="0" fontId="45" fillId="0" borderId="55" xfId="0" applyFont="1" applyFill="1" applyBorder="1" applyAlignment="1">
      <alignment horizontal="center" vertical="center"/>
    </xf>
    <xf numFmtId="0" fontId="45" fillId="0" borderId="40" xfId="0" applyFont="1" applyFill="1" applyBorder="1" applyAlignment="1">
      <alignment horizontal="center" vertical="center" textRotation="45"/>
    </xf>
    <xf numFmtId="0" fontId="45" fillId="0" borderId="41" xfId="0" applyFont="1" applyFill="1" applyBorder="1" applyAlignment="1">
      <alignment horizontal="center" vertical="center" textRotation="45"/>
    </xf>
    <xf numFmtId="0" fontId="45" fillId="0" borderId="42" xfId="0" applyFont="1" applyFill="1" applyBorder="1" applyAlignment="1">
      <alignment horizontal="center" vertical="center" textRotation="45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98"/>
  <sheetViews>
    <sheetView tabSelected="1" topLeftCell="M1" zoomScale="112" zoomScaleNormal="112" workbookViewId="0">
      <pane ySplit="4" topLeftCell="M5" activePane="bottomLeft" state="frozen"/>
      <selection activeCell="M1" sqref="M1"/>
      <selection pane="bottomLeft" activeCell="D5" sqref="D5:E59"/>
    </sheetView>
  </sheetViews>
  <sheetFormatPr defaultColWidth="8.94921875" defaultRowHeight="13.5" x14ac:dyDescent="0.15"/>
  <cols>
    <col min="1" max="1" width="8.94921875" style="1" customWidth="1"/>
    <col min="2" max="2" width="48.66796875" style="2" bestFit="1" customWidth="1"/>
    <col min="3" max="3" width="5.26953125" style="2" bestFit="1" customWidth="1"/>
    <col min="4" max="5" width="3.921875" style="1" bestFit="1" customWidth="1"/>
    <col min="6" max="6" width="4.41015625" style="1" bestFit="1" customWidth="1"/>
    <col min="7" max="7" width="10.171875" style="1" customWidth="1"/>
    <col min="8" max="11" width="11.3984375" style="1" customWidth="1"/>
    <col min="12" max="12" width="8.94921875" style="1" customWidth="1"/>
    <col min="13" max="13" width="11.64453125" style="1" customWidth="1"/>
    <col min="14" max="14" width="8.94921875" style="1" customWidth="1"/>
    <col min="15" max="15" width="7.109375" style="1" customWidth="1"/>
    <col min="16" max="19" width="9.9296875" style="1" bestFit="1" customWidth="1"/>
    <col min="20" max="20" width="8.94921875" style="3" customWidth="1"/>
    <col min="21" max="22" width="6.86328125" style="3" hidden="1"/>
    <col min="23" max="23" width="3.0625" style="3" hidden="1"/>
    <col min="24" max="25" width="11.03125" style="3" hidden="1"/>
    <col min="26" max="28" width="4.65625" style="3" hidden="1"/>
    <col min="29" max="31" width="11.03125" style="3" hidden="1"/>
    <col min="32" max="35" width="8.94921875" style="3" customWidth="1"/>
    <col min="36" max="37" width="8.94921875" style="4" customWidth="1"/>
    <col min="38" max="40" width="8.94921875" style="1" customWidth="1"/>
    <col min="41" max="41" width="9.31640625" style="1" customWidth="1"/>
    <col min="42" max="42" width="8.94921875" style="1" customWidth="1"/>
    <col min="43" max="47" width="11.15234375" style="1" customWidth="1"/>
    <col min="48" max="48" width="14.83203125" style="1" customWidth="1"/>
    <col min="49" max="50" width="11.15234375" style="1" customWidth="1"/>
    <col min="51" max="51" width="8.94921875" style="1" customWidth="1"/>
    <col min="52" max="52" width="11.15234375" style="1" customWidth="1"/>
    <col min="53" max="53" width="2.203125" style="1" bestFit="1" customWidth="1"/>
    <col min="54" max="54" width="2.94140625" style="1" customWidth="1"/>
    <col min="55" max="55" width="8.94921875" style="1" customWidth="1"/>
    <col min="56" max="56" width="11.15234375" style="1" customWidth="1"/>
    <col min="57" max="57" width="11.64453125" style="1" customWidth="1"/>
    <col min="58" max="58" width="8.94921875" style="1" customWidth="1"/>
    <col min="59" max="59" width="11.15234375" style="1" customWidth="1"/>
    <col min="60" max="60" width="18.01953125" style="1" customWidth="1"/>
    <col min="61" max="61" width="18.75390625" style="1" customWidth="1"/>
    <col min="62" max="65" width="8.94921875" style="3" customWidth="1"/>
    <col min="66" max="67" width="11.15234375" style="3" customWidth="1"/>
    <col min="68" max="68" width="9.0703125" style="3" customWidth="1"/>
    <col min="69" max="69" width="11.15234375" style="3" customWidth="1"/>
    <col min="70" max="70" width="10.171875" style="3" customWidth="1"/>
    <col min="71" max="71" width="11.15234375" style="3" customWidth="1"/>
    <col min="72" max="73" width="8.94921875" style="3" customWidth="1"/>
    <col min="74" max="74" width="11.15234375" style="3" customWidth="1"/>
    <col min="75" max="75" width="8.94921875" style="3" customWidth="1"/>
    <col min="76" max="77" width="18.38671875" style="3" customWidth="1"/>
    <col min="78" max="79" width="11.64453125" style="3" customWidth="1"/>
    <col min="80" max="80" width="9.0703125" style="3" customWidth="1"/>
    <col min="81" max="81" width="11.64453125" style="3" customWidth="1"/>
    <col min="82" max="84" width="8.94921875" style="3" customWidth="1"/>
    <col min="85" max="85" width="11.15234375" style="3" customWidth="1"/>
    <col min="86" max="86" width="8.94921875" style="3" customWidth="1"/>
    <col min="87" max="87" width="11.15234375" style="3" customWidth="1"/>
    <col min="88" max="89" width="12.2578125" style="3" customWidth="1"/>
    <col min="90" max="90" width="11.15234375" style="3" customWidth="1"/>
    <col min="91" max="91" width="11.64453125" style="3" customWidth="1"/>
    <col min="92" max="92" width="11.27734375" style="3" customWidth="1"/>
    <col min="93" max="93" width="11.15234375" style="3" customWidth="1"/>
    <col min="94" max="95" width="8.94921875" style="3" customWidth="1"/>
    <col min="96" max="97" width="11.15234375" style="3" customWidth="1"/>
    <col min="98" max="98" width="11.64453125" style="3" customWidth="1"/>
    <col min="99" max="99" width="11.15234375" style="3" customWidth="1"/>
    <col min="100" max="100" width="10.41796875" style="3" customWidth="1"/>
    <col min="101" max="102" width="11.15234375" style="3" customWidth="1"/>
    <col min="103" max="104" width="8.94921875" style="3" customWidth="1"/>
    <col min="105" max="105" width="11.64453125" style="3" customWidth="1"/>
    <col min="106" max="106" width="9.9296875" style="3" hidden="1"/>
    <col min="107" max="107" width="8.94921875" style="3" hidden="1"/>
    <col min="108" max="108" width="11.64453125" style="3" customWidth="1"/>
    <col min="109" max="109" width="11.765625" style="3" customWidth="1"/>
    <col min="110" max="110" width="11.15234375" style="3" customWidth="1"/>
    <col min="111" max="111" width="11.64453125" style="3" customWidth="1"/>
    <col min="112" max="113" width="8.94921875" style="3" customWidth="1"/>
    <col min="114" max="114" width="11.64453125" style="3" customWidth="1"/>
    <col min="115" max="116" width="8.94921875" style="3" hidden="1"/>
    <col min="117" max="117" width="11.64453125" style="3" customWidth="1"/>
    <col min="118" max="118" width="11.765625" style="3" customWidth="1"/>
    <col min="119" max="119" width="11.15234375" style="3" customWidth="1"/>
    <col min="120" max="120" width="11.64453125" style="3" customWidth="1"/>
    <col min="121" max="123" width="8.94921875" style="3" customWidth="1"/>
    <col min="124" max="124" width="6.12890625" style="3" customWidth="1"/>
    <col min="125" max="125" width="4.2890625" style="3" customWidth="1"/>
    <col min="126" max="126" width="2.203125" style="3" customWidth="1"/>
    <col min="127" max="127" width="4.41015625" style="3" customWidth="1"/>
    <col min="128" max="256" width="8.94921875" style="3" customWidth="1"/>
  </cols>
  <sheetData>
    <row r="1" spans="1:256" ht="19.5" customHeight="1" x14ac:dyDescent="0.15">
      <c r="B1" s="5" t="s">
        <v>134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/>
      <c r="AJ1" s="7" t="s">
        <v>130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8"/>
      <c r="BJ1" s="335" t="s">
        <v>92</v>
      </c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6"/>
      <c r="CE1" s="9"/>
      <c r="CF1" s="4"/>
      <c r="CG1" s="319" t="s">
        <v>93</v>
      </c>
      <c r="CH1" s="320"/>
      <c r="CI1" s="320"/>
      <c r="CJ1" s="320"/>
      <c r="CK1" s="320"/>
      <c r="CL1" s="320"/>
      <c r="CM1" s="320"/>
      <c r="CN1" s="320"/>
      <c r="CO1" s="320"/>
      <c r="CP1" s="320"/>
      <c r="CQ1" s="320"/>
      <c r="CR1" s="320"/>
      <c r="CS1" s="320"/>
      <c r="CT1" s="320"/>
      <c r="CU1" s="320"/>
      <c r="CV1" s="320"/>
      <c r="CW1" s="320"/>
      <c r="CX1" s="321"/>
      <c r="CY1" s="10"/>
      <c r="CZ1" s="319" t="s">
        <v>94</v>
      </c>
      <c r="DA1" s="320"/>
      <c r="DB1" s="320"/>
      <c r="DC1" s="320"/>
      <c r="DD1" s="320"/>
      <c r="DE1" s="320"/>
      <c r="DF1" s="320"/>
      <c r="DG1" s="320"/>
      <c r="DH1" s="320"/>
      <c r="DI1" s="320"/>
      <c r="DJ1" s="320"/>
      <c r="DK1" s="320"/>
      <c r="DL1" s="320"/>
      <c r="DM1" s="320"/>
      <c r="DN1" s="320"/>
      <c r="DO1" s="320"/>
      <c r="DP1" s="320"/>
    </row>
    <row r="2" spans="1:256" ht="23.25" customHeight="1" x14ac:dyDescent="0.2"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/>
      <c r="U2" s="325" t="s">
        <v>29</v>
      </c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J2" s="13" t="s">
        <v>44</v>
      </c>
      <c r="AK2" s="14"/>
      <c r="AL2" s="15" t="s">
        <v>38</v>
      </c>
      <c r="AM2" s="15">
        <v>28</v>
      </c>
      <c r="AN2" s="15" t="s">
        <v>39</v>
      </c>
      <c r="AO2" s="15">
        <v>420</v>
      </c>
      <c r="AP2" s="15" t="s">
        <v>40</v>
      </c>
      <c r="AQ2" s="15">
        <f>AO2/(0.85*AM2)</f>
        <v>17.647058823529409</v>
      </c>
      <c r="AR2" s="15" t="s">
        <v>41</v>
      </c>
      <c r="AS2" s="15">
        <v>0.65</v>
      </c>
      <c r="AT2" s="15" t="s">
        <v>42</v>
      </c>
      <c r="AU2" s="15">
        <v>0.65</v>
      </c>
      <c r="AV2" s="15"/>
      <c r="AW2" s="15" t="s">
        <v>128</v>
      </c>
      <c r="AX2" s="15">
        <v>10</v>
      </c>
      <c r="AY2" s="16" t="s">
        <v>129</v>
      </c>
      <c r="AZ2" s="15">
        <f>2*PI()*AX2^2/4</f>
        <v>157.07963267948966</v>
      </c>
      <c r="BA2" s="15"/>
      <c r="BB2" s="15"/>
      <c r="BC2" s="15" t="s">
        <v>43</v>
      </c>
      <c r="BD2" s="15">
        <v>60</v>
      </c>
      <c r="BE2" s="17" t="s">
        <v>131</v>
      </c>
      <c r="BF2" s="15">
        <v>0.75</v>
      </c>
      <c r="BG2" s="15"/>
      <c r="BH2" s="17" t="s">
        <v>132</v>
      </c>
      <c r="BI2" s="15">
        <v>280</v>
      </c>
      <c r="BJ2" s="337"/>
      <c r="BK2" s="337"/>
      <c r="BL2" s="337"/>
      <c r="BM2" s="337"/>
      <c r="BN2" s="337"/>
      <c r="BO2" s="337"/>
      <c r="BP2" s="337"/>
      <c r="BQ2" s="337"/>
      <c r="BR2" s="337"/>
      <c r="BS2" s="337"/>
      <c r="BT2" s="337"/>
      <c r="BU2" s="337"/>
      <c r="BV2" s="337"/>
      <c r="BW2" s="337"/>
      <c r="BX2" s="337"/>
      <c r="BY2" s="337"/>
      <c r="BZ2" s="337"/>
      <c r="CA2" s="337"/>
      <c r="CB2" s="337"/>
      <c r="CC2" s="337"/>
      <c r="CD2" s="338"/>
      <c r="CE2" s="9"/>
      <c r="CF2" s="4"/>
      <c r="CG2" s="322"/>
      <c r="CH2" s="323"/>
      <c r="CI2" s="323"/>
      <c r="CJ2" s="323"/>
      <c r="CK2" s="323"/>
      <c r="CL2" s="323"/>
      <c r="CM2" s="323"/>
      <c r="CN2" s="323"/>
      <c r="CO2" s="323"/>
      <c r="CP2" s="323"/>
      <c r="CQ2" s="323"/>
      <c r="CR2" s="323"/>
      <c r="CS2" s="323"/>
      <c r="CT2" s="323"/>
      <c r="CU2" s="323"/>
      <c r="CV2" s="323"/>
      <c r="CW2" s="323"/>
      <c r="CX2" s="324"/>
      <c r="CY2" s="18"/>
      <c r="CZ2" s="322"/>
      <c r="DA2" s="323"/>
      <c r="DB2" s="323"/>
      <c r="DC2" s="323"/>
      <c r="DD2" s="323"/>
      <c r="DE2" s="323"/>
      <c r="DF2" s="323"/>
      <c r="DG2" s="323"/>
      <c r="DH2" s="323"/>
      <c r="DI2" s="323"/>
      <c r="DJ2" s="323"/>
      <c r="DK2" s="323"/>
      <c r="DL2" s="323"/>
      <c r="DM2" s="323"/>
      <c r="DN2" s="323"/>
      <c r="DO2" s="323"/>
      <c r="DP2" s="323"/>
    </row>
    <row r="3" spans="1:256" ht="23.25" customHeight="1" thickTop="1" thickBot="1" x14ac:dyDescent="0.25">
      <c r="B3" s="19" t="s">
        <v>123</v>
      </c>
      <c r="C3" s="20" t="s">
        <v>143</v>
      </c>
      <c r="D3" s="15" t="s">
        <v>4</v>
      </c>
      <c r="E3" s="15" t="s">
        <v>5</v>
      </c>
      <c r="F3" s="15" t="s">
        <v>31</v>
      </c>
      <c r="G3" s="15" t="s">
        <v>33</v>
      </c>
      <c r="H3" s="15" t="s">
        <v>107</v>
      </c>
      <c r="I3" s="15" t="s">
        <v>108</v>
      </c>
      <c r="J3" s="15" t="s">
        <v>109</v>
      </c>
      <c r="K3" s="15" t="s">
        <v>110</v>
      </c>
      <c r="L3" s="21" t="s">
        <v>111</v>
      </c>
      <c r="M3" s="22"/>
      <c r="N3" s="22"/>
      <c r="O3"/>
      <c r="P3"/>
      <c r="Q3"/>
      <c r="R3"/>
      <c r="S3"/>
      <c r="U3" s="300" t="s">
        <v>7</v>
      </c>
      <c r="V3" s="300"/>
      <c r="W3" s="329" t="s">
        <v>2</v>
      </c>
      <c r="X3" s="330"/>
      <c r="Y3" s="330"/>
      <c r="Z3" s="331" t="s">
        <v>3</v>
      </c>
      <c r="AA3" s="332"/>
      <c r="AB3" s="332"/>
      <c r="AC3" s="333"/>
      <c r="AD3" s="300" t="s">
        <v>106</v>
      </c>
      <c r="AE3" s="300" t="s">
        <v>105</v>
      </c>
      <c r="AJ3" s="23"/>
      <c r="AK3" s="24"/>
      <c r="AL3" s="15" t="s">
        <v>4</v>
      </c>
      <c r="AM3" s="15" t="s">
        <v>5</v>
      </c>
      <c r="AN3" s="15" t="s">
        <v>45</v>
      </c>
      <c r="AO3" s="15" t="s">
        <v>33</v>
      </c>
      <c r="AP3" s="15" t="s">
        <v>46</v>
      </c>
      <c r="AQ3" s="15" t="s">
        <v>47</v>
      </c>
      <c r="AR3" s="15" t="s">
        <v>48</v>
      </c>
      <c r="AS3" s="15" t="s">
        <v>49</v>
      </c>
      <c r="AT3" s="15" t="s">
        <v>50</v>
      </c>
      <c r="AU3" s="15" t="s">
        <v>51</v>
      </c>
      <c r="AV3" s="25" t="s">
        <v>52</v>
      </c>
      <c r="AW3" s="15" t="s">
        <v>53</v>
      </c>
      <c r="AX3" s="15" t="s">
        <v>54</v>
      </c>
      <c r="AY3" s="26" t="s">
        <v>0</v>
      </c>
      <c r="AZ3" s="27" t="s">
        <v>55</v>
      </c>
      <c r="BA3" s="28"/>
      <c r="BB3" s="29"/>
      <c r="BC3" s="7" t="s">
        <v>121</v>
      </c>
      <c r="BD3" s="7"/>
      <c r="BE3" s="7"/>
      <c r="BF3" s="7"/>
      <c r="BG3" s="7"/>
      <c r="BH3" s="7"/>
      <c r="BI3" s="7"/>
      <c r="BJ3" s="15" t="s">
        <v>77</v>
      </c>
      <c r="BK3" s="15" t="s">
        <v>78</v>
      </c>
      <c r="BL3" s="15" t="s">
        <v>70</v>
      </c>
      <c r="BM3" s="15" t="s">
        <v>79</v>
      </c>
      <c r="BN3" s="15" t="s">
        <v>71</v>
      </c>
      <c r="BO3" s="15" t="s">
        <v>80</v>
      </c>
      <c r="BP3" s="15" t="s">
        <v>72</v>
      </c>
      <c r="BQ3" s="15" t="s">
        <v>81</v>
      </c>
      <c r="BR3" s="15" t="s">
        <v>73</v>
      </c>
      <c r="BS3" s="15" t="s">
        <v>82</v>
      </c>
      <c r="BT3" s="15" t="s">
        <v>74</v>
      </c>
      <c r="BU3" s="15" t="s">
        <v>83</v>
      </c>
      <c r="BV3" s="15" t="s">
        <v>58</v>
      </c>
      <c r="BW3" s="15" t="s">
        <v>57</v>
      </c>
      <c r="BX3" s="300" t="s">
        <v>75</v>
      </c>
      <c r="BY3" s="300" t="s">
        <v>76</v>
      </c>
      <c r="BZ3" s="30" t="s">
        <v>124</v>
      </c>
      <c r="CA3" s="30" t="s">
        <v>125</v>
      </c>
      <c r="CB3" s="30" t="s">
        <v>126</v>
      </c>
      <c r="CC3" s="30" t="s">
        <v>127</v>
      </c>
      <c r="CD3" s="300" t="s">
        <v>59</v>
      </c>
      <c r="CE3" s="9"/>
      <c r="CF3" s="4"/>
      <c r="CG3" s="314" t="s">
        <v>95</v>
      </c>
      <c r="CH3" s="315"/>
      <c r="CI3" s="315"/>
      <c r="CJ3" s="315"/>
      <c r="CK3" s="315"/>
      <c r="CL3" s="315"/>
      <c r="CM3" s="315"/>
      <c r="CN3" s="315"/>
      <c r="CO3" s="316"/>
      <c r="CP3" s="10"/>
      <c r="CQ3" s="314" t="s">
        <v>96</v>
      </c>
      <c r="CR3" s="315"/>
      <c r="CS3" s="315"/>
      <c r="CT3" s="315"/>
      <c r="CU3" s="315"/>
      <c r="CV3" s="315"/>
      <c r="CW3" s="315"/>
      <c r="CX3" s="315"/>
      <c r="CY3" s="18"/>
      <c r="CZ3" s="314" t="s">
        <v>95</v>
      </c>
      <c r="DA3" s="315"/>
      <c r="DB3" s="315"/>
      <c r="DC3" s="315"/>
      <c r="DD3" s="315"/>
      <c r="DE3" s="315"/>
      <c r="DF3" s="315"/>
      <c r="DG3" s="315"/>
      <c r="DH3" s="10"/>
      <c r="DI3" s="314" t="s">
        <v>96</v>
      </c>
      <c r="DJ3" s="315"/>
      <c r="DK3" s="315"/>
      <c r="DL3" s="315"/>
      <c r="DM3" s="315"/>
      <c r="DN3" s="315"/>
      <c r="DO3" s="315"/>
      <c r="DP3" s="315"/>
    </row>
    <row r="4" spans="1:256" ht="18" customHeight="1" thickTop="1" thickBot="1" x14ac:dyDescent="0.45">
      <c r="B4" s="173"/>
      <c r="C4" s="31"/>
      <c r="D4" s="15" t="s">
        <v>36</v>
      </c>
      <c r="E4" s="15" t="s">
        <v>36</v>
      </c>
      <c r="F4" s="15" t="s">
        <v>36</v>
      </c>
      <c r="G4" s="15" t="s">
        <v>34</v>
      </c>
      <c r="H4" s="15" t="s">
        <v>35</v>
      </c>
      <c r="I4" s="15" t="s">
        <v>35</v>
      </c>
      <c r="J4" s="15" t="s">
        <v>35</v>
      </c>
      <c r="K4" s="15" t="s">
        <v>35</v>
      </c>
      <c r="L4" s="15" t="s">
        <v>30</v>
      </c>
      <c r="M4" s="32" t="s">
        <v>32</v>
      </c>
      <c r="N4" s="15" t="s">
        <v>1</v>
      </c>
      <c r="O4"/>
      <c r="P4" t="s">
        <v>112</v>
      </c>
      <c r="Q4" s="1" t="s">
        <v>113</v>
      </c>
      <c r="R4" s="1" t="s">
        <v>114</v>
      </c>
      <c r="S4" s="1" t="s">
        <v>115</v>
      </c>
      <c r="U4" s="299"/>
      <c r="V4" s="299"/>
      <c r="W4" s="15"/>
      <c r="X4" s="15" t="s">
        <v>102</v>
      </c>
      <c r="Y4" s="15" t="s">
        <v>103</v>
      </c>
      <c r="Z4" s="15" t="s">
        <v>86</v>
      </c>
      <c r="AA4" s="15" t="s">
        <v>97</v>
      </c>
      <c r="AB4" s="15" t="s">
        <v>98</v>
      </c>
      <c r="AC4" s="15" t="s">
        <v>104</v>
      </c>
      <c r="AD4" s="299"/>
      <c r="AE4" s="299"/>
      <c r="AJ4" s="33"/>
      <c r="AK4" s="34"/>
      <c r="AL4" s="15" t="s">
        <v>60</v>
      </c>
      <c r="AM4" s="15" t="s">
        <v>60</v>
      </c>
      <c r="AN4" s="15" t="s">
        <v>60</v>
      </c>
      <c r="AO4" s="15" t="s">
        <v>61</v>
      </c>
      <c r="AP4" s="15" t="s">
        <v>62</v>
      </c>
      <c r="AQ4" s="15" t="s">
        <v>62</v>
      </c>
      <c r="AR4" s="15" t="s">
        <v>62</v>
      </c>
      <c r="AS4" s="15" t="s">
        <v>62</v>
      </c>
      <c r="AT4" s="15" t="s">
        <v>62</v>
      </c>
      <c r="AU4" s="15" t="s">
        <v>63</v>
      </c>
      <c r="AV4" s="35"/>
      <c r="AW4" s="15" t="s">
        <v>64</v>
      </c>
      <c r="AX4" s="15" t="s">
        <v>64</v>
      </c>
      <c r="AY4" s="36"/>
      <c r="AZ4" s="37"/>
      <c r="BA4" s="38"/>
      <c r="BB4" s="39"/>
      <c r="BC4" s="15" t="s">
        <v>56</v>
      </c>
      <c r="BD4" s="15" t="s">
        <v>117</v>
      </c>
      <c r="BE4" s="15" t="s">
        <v>118</v>
      </c>
      <c r="BF4" s="15" t="s">
        <v>119</v>
      </c>
      <c r="BG4" s="15" t="s">
        <v>133</v>
      </c>
      <c r="BH4" s="15" t="s">
        <v>120</v>
      </c>
      <c r="BI4" s="40" t="s">
        <v>122</v>
      </c>
      <c r="BJ4" s="15" t="s">
        <v>36</v>
      </c>
      <c r="BK4" s="15" t="s">
        <v>36</v>
      </c>
      <c r="BL4" s="15" t="s">
        <v>36</v>
      </c>
      <c r="BM4" s="15" t="s">
        <v>36</v>
      </c>
      <c r="BN4" s="15" t="s">
        <v>68</v>
      </c>
      <c r="BO4" s="15" t="s">
        <v>68</v>
      </c>
      <c r="BP4" s="15" t="s">
        <v>67</v>
      </c>
      <c r="BQ4" s="15" t="s">
        <v>67</v>
      </c>
      <c r="BR4" s="15" t="s">
        <v>66</v>
      </c>
      <c r="BS4" s="15" t="s">
        <v>66</v>
      </c>
      <c r="BT4" s="15" t="s">
        <v>69</v>
      </c>
      <c r="BU4" s="15" t="s">
        <v>69</v>
      </c>
      <c r="BV4" s="15" t="s">
        <v>63</v>
      </c>
      <c r="BW4" s="15" t="s">
        <v>63</v>
      </c>
      <c r="BX4" s="299"/>
      <c r="BY4" s="299"/>
      <c r="BZ4" s="15" t="s">
        <v>61</v>
      </c>
      <c r="CA4" s="15" t="s">
        <v>61</v>
      </c>
      <c r="CB4" s="15" t="s">
        <v>61</v>
      </c>
      <c r="CC4" s="15" t="s">
        <v>61</v>
      </c>
      <c r="CD4" s="299"/>
      <c r="CE4" s="9"/>
      <c r="CF4" s="4"/>
      <c r="CG4" s="30" t="s">
        <v>85</v>
      </c>
      <c r="CH4" s="30" t="s">
        <v>45</v>
      </c>
      <c r="CI4" s="30" t="s">
        <v>88</v>
      </c>
      <c r="CJ4" s="30" t="s">
        <v>84</v>
      </c>
      <c r="CK4" s="30" t="s">
        <v>86</v>
      </c>
      <c r="CL4" s="30" t="s">
        <v>87</v>
      </c>
      <c r="CM4" s="30" t="s">
        <v>37</v>
      </c>
      <c r="CN4" s="30" t="s">
        <v>90</v>
      </c>
      <c r="CO4" s="30" t="s">
        <v>89</v>
      </c>
      <c r="CP4" s="18"/>
      <c r="CQ4" s="30" t="s">
        <v>45</v>
      </c>
      <c r="CR4" s="30" t="s">
        <v>88</v>
      </c>
      <c r="CS4" s="30" t="s">
        <v>84</v>
      </c>
      <c r="CT4" s="30" t="s">
        <v>86</v>
      </c>
      <c r="CU4" s="30" t="s">
        <v>87</v>
      </c>
      <c r="CV4" s="30" t="s">
        <v>37</v>
      </c>
      <c r="CW4" s="30" t="s">
        <v>90</v>
      </c>
      <c r="CX4" s="30" t="s">
        <v>89</v>
      </c>
      <c r="CY4" s="18"/>
      <c r="CZ4" s="30" t="s">
        <v>84</v>
      </c>
      <c r="DA4" s="30" t="s">
        <v>86</v>
      </c>
      <c r="DB4" s="30" t="s">
        <v>87</v>
      </c>
      <c r="DC4" s="30" t="s">
        <v>90</v>
      </c>
      <c r="DD4" s="30" t="s">
        <v>91</v>
      </c>
      <c r="DE4" s="30" t="s">
        <v>87</v>
      </c>
      <c r="DF4" s="30" t="s">
        <v>90</v>
      </c>
      <c r="DG4" s="30" t="s">
        <v>89</v>
      </c>
      <c r="DH4" s="18"/>
      <c r="DI4" s="30" t="s">
        <v>84</v>
      </c>
      <c r="DJ4" s="30" t="s">
        <v>86</v>
      </c>
      <c r="DK4" s="30" t="s">
        <v>87</v>
      </c>
      <c r="DL4" s="30" t="s">
        <v>90</v>
      </c>
      <c r="DM4" s="30" t="s">
        <v>91</v>
      </c>
      <c r="DN4" s="30" t="s">
        <v>87</v>
      </c>
      <c r="DO4" s="30" t="s">
        <v>90</v>
      </c>
      <c r="DP4" s="30" t="s">
        <v>89</v>
      </c>
      <c r="DT4" s="41" t="s">
        <v>136</v>
      </c>
      <c r="DU4" s="339" t="s">
        <v>135</v>
      </c>
      <c r="DV4" s="339"/>
      <c r="DW4" s="339"/>
    </row>
    <row r="5" spans="1:256" ht="15.75" customHeight="1" thickTop="1" thickBot="1" x14ac:dyDescent="0.3">
      <c r="A5" s="42" t="s">
        <v>144</v>
      </c>
      <c r="B5" s="175" t="s">
        <v>8</v>
      </c>
      <c r="C5" s="93"/>
      <c r="D5" s="43">
        <v>300</v>
      </c>
      <c r="E5" s="43">
        <v>500</v>
      </c>
      <c r="F5" s="42">
        <v>1600</v>
      </c>
      <c r="G5" s="94">
        <v>854.82</v>
      </c>
      <c r="H5" s="94">
        <v>6.15</v>
      </c>
      <c r="I5" s="94">
        <v>0</v>
      </c>
      <c r="J5" s="94">
        <v>0.16</v>
      </c>
      <c r="K5" s="94">
        <v>0</v>
      </c>
      <c r="L5" s="43">
        <f t="shared" ref="L5:L36" si="0">(0.9*F5)/(0.3*E5)</f>
        <v>9.6</v>
      </c>
      <c r="M5" s="43">
        <f t="shared" ref="M5:M36" si="1">IF(P5&gt;Q5,(34-12*I5/H5),(34-12*H5/I5))</f>
        <v>34</v>
      </c>
      <c r="N5" s="44" t="str">
        <f t="shared" ref="N5:N36" si="2">IF(L5&lt;=M5,"sho.col","long.col")</f>
        <v>sho.col</v>
      </c>
      <c r="O5" s="45"/>
      <c r="P5" s="46">
        <f t="shared" ref="P5:P36" si="3">ABS(H5)</f>
        <v>6.15</v>
      </c>
      <c r="Q5" s="46">
        <f t="shared" ref="Q5:Q36" si="4">ABS(I5)</f>
        <v>0</v>
      </c>
      <c r="R5" s="46">
        <f t="shared" ref="R5:R36" si="5">ABS(J5)</f>
        <v>0.16</v>
      </c>
      <c r="S5" s="46">
        <f t="shared" ref="S5:S36" si="6">ABS(K5)</f>
        <v>0</v>
      </c>
      <c r="U5" s="288" t="s">
        <v>6</v>
      </c>
      <c r="V5" s="300" t="s">
        <v>100</v>
      </c>
      <c r="W5" s="15" t="s">
        <v>86</v>
      </c>
      <c r="X5" s="43">
        <v>0</v>
      </c>
      <c r="Y5" s="43">
        <v>200</v>
      </c>
      <c r="Z5" s="292">
        <v>250</v>
      </c>
      <c r="AA5" s="292">
        <v>500</v>
      </c>
      <c r="AB5" s="292">
        <f>AB7</f>
        <v>1600</v>
      </c>
      <c r="AC5" s="292">
        <f>(Z5*AA5^3/12)/AB5</f>
        <v>1627604.1666666665</v>
      </c>
      <c r="AD5" s="292">
        <f>(0.7*(AC5+AC7))/(0.35*(X8+Y8))</f>
        <v>7.3852539062500009</v>
      </c>
      <c r="AE5" s="292">
        <f>MIN(MIN(1,(0.7+0.05*(AD5+AD9))),MIN(1,(0.85+0.05*MIN(AD5,AD9))))</f>
        <v>0.9</v>
      </c>
      <c r="AI5" s="4" t="s">
        <v>151</v>
      </c>
      <c r="AJ5" s="306" t="str">
        <f t="shared" ref="AJ5:AJ36" si="7">B5</f>
        <v>C2</v>
      </c>
      <c r="AK5" s="307"/>
      <c r="AL5" s="43">
        <v>300</v>
      </c>
      <c r="AM5" s="43">
        <v>500</v>
      </c>
      <c r="AN5" s="43">
        <f t="shared" ref="AN5:AN36" si="8">AM5-60</f>
        <v>440</v>
      </c>
      <c r="AO5" s="43">
        <f t="shared" ref="AO5:AO36" si="9">G5</f>
        <v>854.82</v>
      </c>
      <c r="AP5" s="43">
        <f t="shared" ref="AP5:AP36" si="10">P5</f>
        <v>6.15</v>
      </c>
      <c r="AQ5" s="43">
        <f t="shared" ref="AQ5:AQ36" si="11">R5</f>
        <v>0.16</v>
      </c>
      <c r="AR5" s="43">
        <f t="shared" ref="AR5:AR36" si="12">AP5+(AQ5*AM5/AL5*((1-AS$2)/AS$2))</f>
        <v>6.2935897435897443</v>
      </c>
      <c r="AS5" s="43">
        <f t="shared" ref="AS5:AS36" si="13">AQ5+(AP5*AL5/AM5*((1-AS$2)/AS$2))</f>
        <v>2.1469230769230769</v>
      </c>
      <c r="AT5" s="43">
        <f t="shared" ref="AT5:AT36" si="14">MAX(AR5:AS5)</f>
        <v>6.2935897435897443</v>
      </c>
      <c r="AU5" s="43">
        <f t="shared" ref="AU5:AU36" si="15">AT5/AO5</f>
        <v>7.3624736711702396E-3</v>
      </c>
      <c r="AV5" s="44" t="str">
        <f t="shared" ref="AV5:AV36" si="16">IF(AU5&lt;=1,"Compression","Tention")</f>
        <v>Compression</v>
      </c>
      <c r="AW5" s="43">
        <f t="shared" ref="AW5:AW36" si="17">IF(MAX(AP5*1000/AO5,AQ5*1000/AO5)&gt;0.1*AM5,IF(IF(AV5="Compression",2*(0.5+AU5*10^3/(AN5-BD$2))*(-AL5*AM$2*AM5/(1.18+3*AU5*10^3*AM5/AN5^2)+AO5*10^3/AU$2)/AO$2,2*AO5*1000*(AU5*1000-0.5*AM5+0.2*AN5)/(AU$2*fy*(AN5-BD$2)))&lt;0.01*AL5*AM5,(0.01*AL5*AM5),IF(AV5="Compression",2*(0.5+AU5*10^3/(AN5-60))*(-AL5*AM$2*AM5/(1.18+3*AU5*10^3*AM5/AN5^2)+AO5*10^3/AU$2)/AO$2,2*AO5*1000*(AU5*1000-0.5*AM5+0.2*AN5)/(AU$2*fy*(AN5-BD$2)))),MAX((AO5*1000/(0.8*AU$2)-0.85*fc*AL5*AM5)/(fy-0.85*fc),0.01*AL5*AM5))</f>
        <v>1500</v>
      </c>
      <c r="AX5" s="43">
        <f t="shared" ref="AX5:AX36" si="18">AW5/4</f>
        <v>375</v>
      </c>
      <c r="AY5" s="43">
        <f t="shared" ref="AY5:AY36" si="19">AW5/(AL5*AM5)</f>
        <v>0.01</v>
      </c>
      <c r="AZ5" s="47">
        <f t="shared" ref="AZ5:AZ36" si="20">EVEN(AW5/(PI()*BB5^2/4))</f>
        <v>10</v>
      </c>
      <c r="BA5" s="48" t="s">
        <v>65</v>
      </c>
      <c r="BB5" s="49">
        <v>14</v>
      </c>
      <c r="BC5" s="94">
        <v>3.07</v>
      </c>
      <c r="BD5" s="43">
        <f t="shared" ref="BD5:BD36" si="21">MIN(fc^0.5*AL5*AN5/(6*1000),fc^0.5*(AL5-60)*AM5/(6*1000))</f>
        <v>105.83005244258362</v>
      </c>
      <c r="BE5" s="43">
        <f t="shared" ref="BE5:BE38" si="22">(BC5-BF$2*BD5)/BF$2</f>
        <v>-101.7367191092503</v>
      </c>
      <c r="BF5" s="43">
        <f t="shared" ref="BF5:BF36" si="23">FLOOR(MIN(AL5/2,MIN((3*AZ$2*BI$2/AM5),(16*AZ$2*BI$2/(fc^0.5*AM5))),(8*BB5),(24*AX$2),300),10)</f>
        <v>110</v>
      </c>
      <c r="BG5" s="43">
        <f t="shared" ref="BG5:BG36" si="24">MAX(MAX(AL5,AM5),(F5/6),450)</f>
        <v>500</v>
      </c>
      <c r="BH5" s="44" t="str">
        <f t="shared" ref="BH5:BH38" si="25">IF(BC5&lt;0.5*BD5*BF$2,"No Need Shear Reinf.",IF(BC5&lt;=BD5*BF$2,BF5,IF(BE5&gt;4*BD5,"Increase b &amp; d",FLOOR(AZ$2*BI$2*AN5/(BE5*1000),50))))</f>
        <v>No Need Shear Reinf.</v>
      </c>
      <c r="BI5" s="50" t="str">
        <f t="shared" ref="BI5:BI36" si="26">IF(BH5="No Need Shear Reinf.","Use Φ"&amp;AX$2&amp;"@"&amp;MIN(BF5,BH5)&amp;"mm",IF(BH5="Increase b &amp; d","Increase b &amp; d","Use Φ"&amp;AX$2&amp;"@"&amp;MIN(BF5,BH5)&amp;"mm"))</f>
        <v>Use Φ10@110mm</v>
      </c>
      <c r="BJ5" s="43">
        <f t="shared" ref="BJ5:BJ36" si="27">AL5</f>
        <v>300</v>
      </c>
      <c r="BK5" s="43">
        <f t="shared" ref="BK5:BK36" si="28">AM5</f>
        <v>500</v>
      </c>
      <c r="BL5" s="43">
        <f t="shared" ref="BL5:BL36" si="29">0.85*(600*AN5)/(600+fy)</f>
        <v>220</v>
      </c>
      <c r="BM5" s="43">
        <f t="shared" ref="BM5:BM30" si="30">0.85*(600*(BJ5-60))/(600+fy)</f>
        <v>120</v>
      </c>
      <c r="BN5" s="43">
        <f t="shared" ref="BN5:BN20" si="31">600*(BL5/0.85-60)*0.85/BL5</f>
        <v>460.90909090909082</v>
      </c>
      <c r="BO5" s="43">
        <f t="shared" ref="BO5:BO20" si="32">600*(BM5/0.85-60)*0.85/BM5</f>
        <v>345.00000000000006</v>
      </c>
      <c r="BP5" s="43">
        <f t="shared" ref="BP5:BP30" si="33">IF(BN5&gt;fy,(0.85*fc*BL5*BJ5+CG5*(fy-0.85*fc)-CG5*fy),(0.85*fc*BL5*BJ5+CG5*(BN5-0.85*fc)-CG5*fy))/1000</f>
        <v>1561.6369999999999</v>
      </c>
      <c r="BQ5" s="43">
        <f t="shared" ref="BQ5:BQ30" si="34">IF(BO5&gt;fy,(0.85*fc*BM5*BK5+CG5*(fy-0.85*fc)-CG5*fy),(0.85*fc*BM5*BK5+CG5*(BO5-0.85*fc)-CG5*fy))/1000</f>
        <v>1389.962</v>
      </c>
      <c r="BR5" s="43">
        <f t="shared" ref="BR5:BR36" si="35">IF(BN5&gt;fy,(0.85*fc*BL5*BJ5*(BK5/2-BL5/2)+CG5*(fy-0.85*fc)*(BK5/2-60)+CG5*fy*(BK5/2-60)),(0.85*fc*BL5*BJ5*(AN5-BL5/2-60)+CG5*(BN5-0.85*fc)*(BK5/2-60)+CG5*fy*(BK5/2-60)))/1000000</f>
        <v>279.61703</v>
      </c>
      <c r="BS5" s="43">
        <f t="shared" ref="BS5:BS30" si="36">IF(BO5&gt;fy,(0.85*fc*BM5*BK5*((BJ5-60)-BM5/2-60)+CG5*(fy-0.85*AM$2)*(BJ5/2-60)-CG5*fy*(BJ5/2-60)),(0.85*fc*BM5*BK5*((BJ5-60)-BM5/2-60)+CG5*(BO5-0.85*fc)*(BJ5/2-60)-CG5*fy*(BJ5/2-60)))/1000000</f>
        <v>167.93657999999999</v>
      </c>
      <c r="BT5" s="43">
        <f t="shared" ref="BT5:BT20" si="37">BR5/BP5</f>
        <v>0.17905379419160791</v>
      </c>
      <c r="BU5" s="43">
        <f t="shared" ref="BU5:BU20" si="38">BS5/BQ5</f>
        <v>0.12082098647301148</v>
      </c>
      <c r="BV5" s="43">
        <f t="shared" ref="BV5:BV36" si="39">AP5/AO5</f>
        <v>7.1944970871060578E-3</v>
      </c>
      <c r="BW5" s="43">
        <f t="shared" ref="BW5:BW36" si="40">AQ5/AO5</f>
        <v>1.8717390795723075E-4</v>
      </c>
      <c r="BX5" s="44" t="str">
        <f t="shared" ref="BX5:BX27" si="41">IF(BT5&gt;BV5,"Compression Controls","Tension Controls")</f>
        <v>Compression Controls</v>
      </c>
      <c r="BY5" s="44" t="str">
        <f t="shared" ref="BY5:BY27" si="42">IF(BU5&gt;BW5,"Compression Controls","Tension Controls")</f>
        <v>Compression Controls</v>
      </c>
      <c r="BZ5" s="43">
        <f t="shared" ref="BZ5:BZ29" si="43">IF(BX5="Compression Controls",CO5,DG5)</f>
        <v>3743.9362641480425</v>
      </c>
      <c r="CA5" s="43">
        <f t="shared" ref="CA5:CA30" si="44">IF(BY5="Compression Controls",CX5,DP5)</f>
        <v>3839.0801143756421</v>
      </c>
      <c r="CB5" s="43">
        <f t="shared" ref="CB5:CB30" si="45">(0.85*fc*BJ5*BK5+CG5*4*(fy-0.85*fc))/1000</f>
        <v>4180.1480000000001</v>
      </c>
      <c r="CC5" s="43">
        <f t="shared" ref="CC5:CC36" si="46">IF(MAX(AP5*1000/AO5,AQ5*1000/AO5)&gt;0.1*AM5,AU$2/(1/BZ5+1/CA5-1/CB5),AU$2*0.8*CB5)</f>
        <v>2173.6769600000002</v>
      </c>
      <c r="CD5" s="51" t="str">
        <f t="shared" ref="CD5:CD36" si="47">IF(CC5&gt;=AO5,"Safe ","Unsafe")</f>
        <v xml:space="preserve">Safe </v>
      </c>
      <c r="CE5" s="9"/>
      <c r="CF5" s="4"/>
      <c r="CG5" s="43">
        <f t="shared" ref="CG5:CG36" si="48">(AZ5*0.25*22/7*BB5^2)/4</f>
        <v>385</v>
      </c>
      <c r="CH5" s="43">
        <f t="shared" ref="CH5:CH29" si="49">BK5-60</f>
        <v>440</v>
      </c>
      <c r="CI5" s="43">
        <f t="shared" ref="CI5:CI29" si="50">BV5*1000+BK5/2-60</f>
        <v>197.19449708710607</v>
      </c>
      <c r="CJ5" s="52">
        <f t="shared" ref="CJ5:CJ30" si="51">0.85*fc*BJ5/(2*CI5)</f>
        <v>18.103953470988777</v>
      </c>
      <c r="CK5" s="52">
        <f t="shared" ref="CK5:CK30" si="52">0.85*fc*BJ5*(1-CH5/CI5)</f>
        <v>-8791.4790544701245</v>
      </c>
      <c r="CL5" s="52">
        <f t="shared" ref="CL5:CL30" si="53">(600*CG5+CG5*(fy-0.85*fc)*(1-(CH5-60)/CI5))</f>
        <v>89593.40189647011</v>
      </c>
      <c r="CM5" s="52">
        <f t="shared" ref="CM5:CM30" si="54">-510*CH5*CG5</f>
        <v>-86394000</v>
      </c>
      <c r="CN5" s="52">
        <f t="shared" ref="CN5:CN30" si="55">(((CK5*CL5/(6*CJ5^2)-(CK5/(3*CJ5))^3-CM5/(2*CJ5))^2+(-(CK5^2/(9*CJ5^2))+CL5/(3*CJ5))^3)^0.5+CK5*CL5/(6*CJ5^2)-CK5^3/(27*CJ5^3)-CM5/(2*CJ5))^(1/3)+(-(((CK5*CL5/(6*CJ5^2)-(CK5/(3*CJ5))^3-CM5/(2*CJ5))^2+(-(CK5^2/(9*CJ5^2))+CL5/(3*CJ5))^3)^0.5)+CK5*CL5/(6*CJ5^2)-CK5^3/(27*CJ5^3)-CM5/(2*CJ5))^(1/3)-CK5/(3*CJ5)</f>
        <v>495.08443039580436</v>
      </c>
      <c r="CO5" s="53">
        <f t="shared" ref="CO5:CO30" si="56">((0.85*fc*CN5*BJ5)+(CG5*(fy-0.85*fc))-(CG5*600*((0.85*CH5)-CN5)/CN5))/1000</f>
        <v>3743.9362641480425</v>
      </c>
      <c r="CP5" s="18"/>
      <c r="CQ5" s="43">
        <f t="shared" ref="CQ5:CQ30" si="57">BJ5-60</f>
        <v>240</v>
      </c>
      <c r="CR5" s="43">
        <f t="shared" ref="CR5:CR30" si="58">BW5*1000+BJ5/2-60</f>
        <v>90.187173907957231</v>
      </c>
      <c r="CS5" s="52">
        <f t="shared" ref="CS5:CS30" si="59">0.85*fc*BK5/(2*CR5)</f>
        <v>65.97390451631648</v>
      </c>
      <c r="CT5" s="52">
        <f t="shared" ref="CT5:CT30" si="60">0.85*fc*BK5*(1-CQ5/CR5)</f>
        <v>-19767.474167831911</v>
      </c>
      <c r="CU5" s="52">
        <f t="shared" ref="CU5:CU30" si="61">(600*CG5+CG5*(fy-0.85*fc)*(1-(CQ5-60)/CR5))</f>
        <v>79096.148709753586</v>
      </c>
      <c r="CV5" s="52">
        <f t="shared" ref="CV5:CV30" si="62">-510*CQ5*CG5</f>
        <v>-47124000</v>
      </c>
      <c r="CW5" s="52">
        <f t="shared" ref="CW5:CW30" si="63">(((CT5*CU5/(6*CS5^2)-(CT5/(3*CS5))^3-CV5/(2*CS5))^2+(-(CT5^2/(9*CS5^2))+CU5/(3*CS5))^3)^0.5+CT5*CU5/(6*CS5^2)-CT5^3/(27*CS5^3)-CV5/(2*CS5))^(1/3)+(-(((CT5*CU5/(6*CS5^2)-(CT5/(3*CS5))^3-CV5/(2*CS5))^2+(-(CT5^2/(9*CS5^2))+CU5/(3*CS5))^3)^0.5)+CT5*CU5/(6*CS5^2)-CT5^3/(27*CS5^3)-CV5/(2*CS5))^(1/3)-CT5/(3*CS5)</f>
        <v>303.43245475044944</v>
      </c>
      <c r="CX5" s="53">
        <f t="shared" ref="CX5:CX30" si="64">((0.85*fc*CW5*BK5)+(CG5*(fy-0.85*fc))-(CG5*600*((0.85*CQ5)-CW5)/CW5))/1000</f>
        <v>3839.0801143756421</v>
      </c>
      <c r="CY5" s="18"/>
      <c r="CZ5" s="52">
        <f t="shared" ref="CZ5:CZ30" si="65">0.425*fc*BJ5</f>
        <v>3570</v>
      </c>
      <c r="DA5" s="52">
        <f t="shared" ref="DA5:DA30" si="66">2*CZ5*(CI5-CH5)</f>
        <v>-1733631.2907980627</v>
      </c>
      <c r="DB5" s="54">
        <f t="shared" ref="DB5:DB30" si="67">CG5*(fy-0.85*fc)*(CI5-CH5+60)-CG5*fy*CI5</f>
        <v>-59770953.176809154</v>
      </c>
      <c r="DC5" s="54">
        <f t="shared" ref="DC5:DC30" si="68">(-DA5+(DA5^2-4*CZ5*DB5)^0.5)/(2*CZ5)</f>
        <v>517.93651926665939</v>
      </c>
      <c r="DD5" s="52">
        <f t="shared" ref="DD5:DD30" si="69">600*(DC5/0.85-60)*0.85/DC5</f>
        <v>540.91940061819514</v>
      </c>
      <c r="DE5" s="52">
        <f t="shared" ref="DE5:DE30" si="70">IF(DD5&gt;fy,DB5,CG5*(DD5-0.85*fc)*(CI5-CH5+60)-CG5*fy*CI5)</f>
        <v>-59770953.176809154</v>
      </c>
      <c r="DF5" s="52">
        <f t="shared" ref="DF5:DF30" si="71">(-DA5+(DA5^2-4*CZ5*DE5)^0.5)/(2*CZ5)</f>
        <v>517.93651926665939</v>
      </c>
      <c r="DG5" s="53">
        <f t="shared" ref="DG5:DG30" si="72">IF(DD5&gt;fy,(0.85*fc*DF5*BJ5+CG5*(fy-0.85*fc)-CG5*fy),(0.85*fc*DF5*BJ5+CG5*(DD5-0.85*fc)-CG5*fy))/1000</f>
        <v>3688.9037475639479</v>
      </c>
      <c r="DH5" s="18"/>
      <c r="DI5" s="52">
        <f t="shared" ref="DI5:DI29" si="73">0.425*fc*BK5</f>
        <v>5950</v>
      </c>
      <c r="DJ5" s="52">
        <f t="shared" ref="DJ5:DJ30" si="74">2*DI5*(CR5-CQ5)</f>
        <v>-1782772.6304953089</v>
      </c>
      <c r="DK5" s="52">
        <f t="shared" ref="DK5:DK30" si="75">CG5*(fy-0.85*fc)*(CR5-CQ5+60)-CG5*fy*CR5</f>
        <v>-28283045.074518614</v>
      </c>
      <c r="DL5" s="52">
        <f t="shared" ref="DL5:DL30" si="76">(-DJ5+(DJ5^2-4*DI5*DK5)^0.5)/(2*DI5)</f>
        <v>314.7289739229488</v>
      </c>
      <c r="DM5" s="52">
        <f t="shared" ref="DM5:DM30" si="77">600*(DL5/0.85-60)*0.85/DC5</f>
        <v>305.51501673953379</v>
      </c>
      <c r="DN5" s="52">
        <f t="shared" ref="DN5:DN30" si="78">IF(DM5&gt;fy,DK5,CG5*(DM5-0.85*fc)*(CR5-CQ5+60)-CG5*fy*CR5)</f>
        <v>-24324390.41620538</v>
      </c>
      <c r="DO5" s="52">
        <f t="shared" ref="DO5:DO30" si="79">(-DJ5+(DJ5^2-4*DI5*DN5)^0.5)/(2*DI5)</f>
        <v>312.69933782565556</v>
      </c>
      <c r="DP5" s="53">
        <f t="shared" ref="DP5:DP30" si="80">IF(DM5&gt;fy,(0.85*fc*DO5*BK5+CG5*(fy-0.85*fc)-CG5*fy),(0.85*fc*DO5*BK5+CG5*(DM5-0.85*fc)-CG5*fy))/1000</f>
        <v>3667.8824015700216</v>
      </c>
      <c r="DT5" s="41" t="str">
        <f t="shared" ref="DT5" si="81">B5</f>
        <v>C2</v>
      </c>
      <c r="DU5" s="55">
        <f t="shared" ref="DU5" si="82">AZ5</f>
        <v>10</v>
      </c>
      <c r="DV5" s="56" t="str">
        <f>BA5</f>
        <v>φ</v>
      </c>
      <c r="DW5" s="57">
        <f t="shared" ref="DW5" si="83">BB5</f>
        <v>14</v>
      </c>
    </row>
    <row r="6" spans="1:256" ht="15.75" customHeight="1" thickTop="1" thickBot="1" x14ac:dyDescent="0.3">
      <c r="A6" s="42" t="s">
        <v>144</v>
      </c>
      <c r="B6" s="175" t="s">
        <v>9</v>
      </c>
      <c r="C6" s="93">
        <v>14</v>
      </c>
      <c r="D6" s="43">
        <v>300</v>
      </c>
      <c r="E6" s="43">
        <v>500</v>
      </c>
      <c r="F6" s="42">
        <v>1600</v>
      </c>
      <c r="G6" s="94">
        <v>925.87</v>
      </c>
      <c r="H6" s="94">
        <v>0.11</v>
      </c>
      <c r="I6" s="94">
        <v>0</v>
      </c>
      <c r="J6" s="94">
        <v>0.18</v>
      </c>
      <c r="K6" s="94">
        <v>0</v>
      </c>
      <c r="L6" s="43">
        <f t="shared" si="0"/>
        <v>9.6</v>
      </c>
      <c r="M6" s="43">
        <f t="shared" si="1"/>
        <v>34</v>
      </c>
      <c r="N6" s="44" t="str">
        <f t="shared" si="2"/>
        <v>sho.col</v>
      </c>
      <c r="O6" s="45"/>
      <c r="P6" s="46">
        <f t="shared" si="3"/>
        <v>0.11</v>
      </c>
      <c r="Q6" s="46">
        <f t="shared" si="4"/>
        <v>0</v>
      </c>
      <c r="R6" s="46">
        <f t="shared" si="5"/>
        <v>0.18</v>
      </c>
      <c r="S6" s="46">
        <f t="shared" si="6"/>
        <v>0</v>
      </c>
      <c r="U6" s="289"/>
      <c r="V6" s="298"/>
      <c r="W6" s="15" t="s">
        <v>97</v>
      </c>
      <c r="X6" s="43">
        <v>0</v>
      </c>
      <c r="Y6" s="43">
        <v>400</v>
      </c>
      <c r="Z6" s="295"/>
      <c r="AA6" s="295"/>
      <c r="AB6" s="295"/>
      <c r="AC6" s="295"/>
      <c r="AD6" s="293"/>
      <c r="AE6" s="293"/>
      <c r="AI6" s="4" t="s">
        <v>154</v>
      </c>
      <c r="AJ6" s="306" t="str">
        <f t="shared" si="7"/>
        <v>C3</v>
      </c>
      <c r="AK6" s="307"/>
      <c r="AL6" s="43">
        <v>300</v>
      </c>
      <c r="AM6" s="43">
        <v>500</v>
      </c>
      <c r="AN6" s="43">
        <f t="shared" si="8"/>
        <v>440</v>
      </c>
      <c r="AO6" s="43">
        <f t="shared" si="9"/>
        <v>925.87</v>
      </c>
      <c r="AP6" s="43">
        <f t="shared" si="10"/>
        <v>0.11</v>
      </c>
      <c r="AQ6" s="43">
        <f t="shared" si="11"/>
        <v>0.18</v>
      </c>
      <c r="AR6" s="43">
        <f t="shared" si="12"/>
        <v>0.27153846153846151</v>
      </c>
      <c r="AS6" s="43">
        <f t="shared" si="13"/>
        <v>0.21553846153846154</v>
      </c>
      <c r="AT6" s="43">
        <f t="shared" si="14"/>
        <v>0.27153846153846151</v>
      </c>
      <c r="AU6" s="43">
        <f t="shared" si="15"/>
        <v>2.9327925252839112E-4</v>
      </c>
      <c r="AV6" s="44" t="str">
        <f t="shared" si="16"/>
        <v>Compression</v>
      </c>
      <c r="AW6" s="43">
        <f t="shared" si="17"/>
        <v>1500</v>
      </c>
      <c r="AX6" s="43">
        <f t="shared" si="18"/>
        <v>375</v>
      </c>
      <c r="AY6" s="43">
        <f t="shared" si="19"/>
        <v>0.01</v>
      </c>
      <c r="AZ6" s="47">
        <f t="shared" si="20"/>
        <v>10</v>
      </c>
      <c r="BA6" s="48" t="s">
        <v>65</v>
      </c>
      <c r="BB6" s="49">
        <v>14</v>
      </c>
      <c r="BC6" s="94">
        <v>0.09</v>
      </c>
      <c r="BD6" s="43">
        <f t="shared" si="21"/>
        <v>105.83005244258362</v>
      </c>
      <c r="BE6" s="43">
        <f t="shared" si="22"/>
        <v>-105.71005244258362</v>
      </c>
      <c r="BF6" s="43">
        <f t="shared" si="23"/>
        <v>110</v>
      </c>
      <c r="BG6" s="43">
        <f t="shared" si="24"/>
        <v>500</v>
      </c>
      <c r="BH6" s="44" t="str">
        <f t="shared" si="25"/>
        <v>No Need Shear Reinf.</v>
      </c>
      <c r="BI6" s="50" t="str">
        <f t="shared" si="26"/>
        <v>Use Φ10@110mm</v>
      </c>
      <c r="BJ6" s="43">
        <f t="shared" si="27"/>
        <v>300</v>
      </c>
      <c r="BK6" s="43">
        <f t="shared" si="28"/>
        <v>500</v>
      </c>
      <c r="BL6" s="43">
        <f t="shared" si="29"/>
        <v>220</v>
      </c>
      <c r="BM6" s="43">
        <f t="shared" si="30"/>
        <v>120</v>
      </c>
      <c r="BN6" s="43">
        <f t="shared" si="31"/>
        <v>460.90909090909082</v>
      </c>
      <c r="BO6" s="43">
        <f t="shared" si="32"/>
        <v>345.00000000000006</v>
      </c>
      <c r="BP6" s="43">
        <f t="shared" si="33"/>
        <v>1561.6369999999999</v>
      </c>
      <c r="BQ6" s="43">
        <f t="shared" si="34"/>
        <v>1389.962</v>
      </c>
      <c r="BR6" s="43">
        <f t="shared" si="35"/>
        <v>279.61703</v>
      </c>
      <c r="BS6" s="43">
        <f t="shared" si="36"/>
        <v>167.93657999999999</v>
      </c>
      <c r="BT6" s="43">
        <f t="shared" si="37"/>
        <v>0.17905379419160791</v>
      </c>
      <c r="BU6" s="43">
        <f t="shared" si="38"/>
        <v>0.12082098647301148</v>
      </c>
      <c r="BV6" s="43">
        <f t="shared" si="39"/>
        <v>1.1880717595342758E-4</v>
      </c>
      <c r="BW6" s="43">
        <f t="shared" si="40"/>
        <v>1.9441174246924512E-4</v>
      </c>
      <c r="BX6" s="44" t="str">
        <f t="shared" si="41"/>
        <v>Compression Controls</v>
      </c>
      <c r="BY6" s="44" t="str">
        <f t="shared" si="42"/>
        <v>Compression Controls</v>
      </c>
      <c r="BZ6" s="43">
        <f t="shared" si="43"/>
        <v>3850.1327705487492</v>
      </c>
      <c r="CA6" s="43">
        <f t="shared" si="44"/>
        <v>3838.8961017335828</v>
      </c>
      <c r="CB6" s="43">
        <f t="shared" si="45"/>
        <v>4180.1480000000001</v>
      </c>
      <c r="CC6" s="43">
        <f t="shared" si="46"/>
        <v>2173.6769600000002</v>
      </c>
      <c r="CD6" s="51" t="str">
        <f t="shared" si="47"/>
        <v xml:space="preserve">Safe </v>
      </c>
      <c r="CE6" s="9"/>
      <c r="CF6" s="4"/>
      <c r="CG6" s="43">
        <f t="shared" si="48"/>
        <v>385</v>
      </c>
      <c r="CH6" s="43">
        <f t="shared" si="49"/>
        <v>440</v>
      </c>
      <c r="CI6" s="43">
        <f t="shared" si="50"/>
        <v>190.11880717595344</v>
      </c>
      <c r="CJ6" s="52">
        <f t="shared" si="51"/>
        <v>18.777731951032038</v>
      </c>
      <c r="CK6" s="52">
        <f t="shared" si="52"/>
        <v>-9384.4041169081956</v>
      </c>
      <c r="CL6" s="52">
        <f t="shared" si="53"/>
        <v>78653.643844947306</v>
      </c>
      <c r="CM6" s="52">
        <f t="shared" si="54"/>
        <v>-86394000</v>
      </c>
      <c r="CN6" s="52">
        <f t="shared" si="55"/>
        <v>509.27679672305942</v>
      </c>
      <c r="CO6" s="53">
        <f t="shared" si="56"/>
        <v>3850.1327705487492</v>
      </c>
      <c r="CP6" s="18"/>
      <c r="CQ6" s="43">
        <f t="shared" si="57"/>
        <v>240</v>
      </c>
      <c r="CR6" s="43">
        <f t="shared" si="58"/>
        <v>90.194411742469242</v>
      </c>
      <c r="CS6" s="52">
        <f t="shared" si="59"/>
        <v>65.968610305801946</v>
      </c>
      <c r="CT6" s="52">
        <f t="shared" si="60"/>
        <v>-19764.932946784927</v>
      </c>
      <c r="CU6" s="52">
        <f t="shared" si="61"/>
        <v>79120.579186739516</v>
      </c>
      <c r="CV6" s="52">
        <f t="shared" si="62"/>
        <v>-47124000</v>
      </c>
      <c r="CW6" s="52">
        <f t="shared" si="63"/>
        <v>303.41762918443851</v>
      </c>
      <c r="CX6" s="53">
        <f t="shared" si="64"/>
        <v>3838.8961017335828</v>
      </c>
      <c r="CY6" s="18"/>
      <c r="CZ6" s="52">
        <f t="shared" si="65"/>
        <v>3570</v>
      </c>
      <c r="DA6" s="52">
        <f t="shared" si="66"/>
        <v>-1784151.7167636924</v>
      </c>
      <c r="DB6" s="54">
        <f t="shared" si="67"/>
        <v>-59706118.630153269</v>
      </c>
      <c r="DC6" s="54">
        <f t="shared" si="68"/>
        <v>531.24397199855343</v>
      </c>
      <c r="DD6" s="52">
        <f t="shared" si="69"/>
        <v>542.39934641539173</v>
      </c>
      <c r="DE6" s="52">
        <f t="shared" si="70"/>
        <v>-59706118.630153269</v>
      </c>
      <c r="DF6" s="52">
        <f t="shared" si="71"/>
        <v>531.24397199855343</v>
      </c>
      <c r="DG6" s="53">
        <f t="shared" si="72"/>
        <v>3783.9189600696714</v>
      </c>
      <c r="DH6" s="18"/>
      <c r="DI6" s="52">
        <f t="shared" si="73"/>
        <v>5950</v>
      </c>
      <c r="DJ6" s="52">
        <f t="shared" si="74"/>
        <v>-1782686.500264616</v>
      </c>
      <c r="DK6" s="52">
        <f t="shared" si="75"/>
        <v>-28283111.394796245</v>
      </c>
      <c r="DL6" s="52">
        <f t="shared" si="76"/>
        <v>314.71519493085526</v>
      </c>
      <c r="DM6" s="52">
        <f t="shared" si="77"/>
        <v>297.84642329822805</v>
      </c>
      <c r="DN6" s="52">
        <f t="shared" si="78"/>
        <v>-24059632.97661259</v>
      </c>
      <c r="DO6" s="52">
        <f t="shared" si="79"/>
        <v>312.54879108816669</v>
      </c>
      <c r="DP6" s="53">
        <f t="shared" si="80"/>
        <v>3663.1384869190015</v>
      </c>
      <c r="DT6" s="41" t="str">
        <f t="shared" ref="DT6:DT59" si="84">B6</f>
        <v>C3</v>
      </c>
      <c r="DU6" s="55">
        <f t="shared" ref="DU6:DU59" si="85">AZ6</f>
        <v>10</v>
      </c>
      <c r="DV6" s="56" t="str">
        <f t="shared" ref="DV6:DV59" si="86">BA6</f>
        <v>φ</v>
      </c>
      <c r="DW6" s="57">
        <f t="shared" ref="DW6:DW59" si="87">BB6</f>
        <v>14</v>
      </c>
    </row>
    <row r="7" spans="1:256" ht="15.75" customHeight="1" thickTop="1" thickBot="1" x14ac:dyDescent="0.3">
      <c r="A7" s="42" t="s">
        <v>144</v>
      </c>
      <c r="B7" s="175" t="s">
        <v>12</v>
      </c>
      <c r="C7" s="93">
        <v>59</v>
      </c>
      <c r="D7" s="43">
        <v>300</v>
      </c>
      <c r="E7" s="43">
        <v>500</v>
      </c>
      <c r="F7" s="42">
        <v>1600</v>
      </c>
      <c r="G7" s="94">
        <v>696.09</v>
      </c>
      <c r="H7" s="94">
        <v>30.14</v>
      </c>
      <c r="I7" s="94">
        <v>0</v>
      </c>
      <c r="J7" s="94">
        <v>9.64</v>
      </c>
      <c r="K7" s="94">
        <v>0</v>
      </c>
      <c r="L7" s="43">
        <f t="shared" si="0"/>
        <v>9.6</v>
      </c>
      <c r="M7" s="43">
        <f t="shared" si="1"/>
        <v>34</v>
      </c>
      <c r="N7" s="44" t="str">
        <f t="shared" si="2"/>
        <v>sho.col</v>
      </c>
      <c r="O7" s="45"/>
      <c r="P7" s="46">
        <f t="shared" si="3"/>
        <v>30.14</v>
      </c>
      <c r="Q7" s="46">
        <f t="shared" si="4"/>
        <v>0</v>
      </c>
      <c r="R7" s="46">
        <f t="shared" si="5"/>
        <v>9.64</v>
      </c>
      <c r="S7" s="46">
        <f t="shared" si="6"/>
        <v>0</v>
      </c>
      <c r="U7" s="289"/>
      <c r="V7" s="298"/>
      <c r="W7" s="15" t="s">
        <v>98</v>
      </c>
      <c r="X7" s="43">
        <v>0</v>
      </c>
      <c r="Y7" s="43">
        <v>1100</v>
      </c>
      <c r="Z7" s="292">
        <f>D5</f>
        <v>300</v>
      </c>
      <c r="AA7" s="292">
        <f>E5</f>
        <v>500</v>
      </c>
      <c r="AB7" s="292">
        <f>F5</f>
        <v>1600</v>
      </c>
      <c r="AC7" s="292">
        <f>(Z7*AA7^3/12)/AB7</f>
        <v>1953125</v>
      </c>
      <c r="AD7" s="293"/>
      <c r="AE7" s="293"/>
      <c r="AI7" s="4" t="s">
        <v>161</v>
      </c>
      <c r="AJ7" s="306" t="str">
        <f t="shared" si="7"/>
        <v>C7</v>
      </c>
      <c r="AK7" s="307"/>
      <c r="AL7" s="43">
        <v>300</v>
      </c>
      <c r="AM7" s="43">
        <v>500</v>
      </c>
      <c r="AN7" s="43">
        <f t="shared" si="8"/>
        <v>440</v>
      </c>
      <c r="AO7" s="43">
        <f t="shared" si="9"/>
        <v>696.09</v>
      </c>
      <c r="AP7" s="43">
        <f t="shared" si="10"/>
        <v>30.14</v>
      </c>
      <c r="AQ7" s="43">
        <f t="shared" si="11"/>
        <v>9.64</v>
      </c>
      <c r="AR7" s="43">
        <f t="shared" si="12"/>
        <v>38.791282051282053</v>
      </c>
      <c r="AS7" s="43">
        <f t="shared" si="13"/>
        <v>19.377538461538464</v>
      </c>
      <c r="AT7" s="43">
        <f t="shared" si="14"/>
        <v>38.791282051282053</v>
      </c>
      <c r="AU7" s="43">
        <f t="shared" si="15"/>
        <v>5.5727394519792056E-2</v>
      </c>
      <c r="AV7" s="44" t="str">
        <f t="shared" si="16"/>
        <v>Compression</v>
      </c>
      <c r="AW7" s="43">
        <f t="shared" si="17"/>
        <v>1500</v>
      </c>
      <c r="AX7" s="43">
        <f t="shared" si="18"/>
        <v>375</v>
      </c>
      <c r="AY7" s="43">
        <f t="shared" si="19"/>
        <v>0.01</v>
      </c>
      <c r="AZ7" s="47">
        <f t="shared" si="20"/>
        <v>10</v>
      </c>
      <c r="BA7" s="48" t="s">
        <v>65</v>
      </c>
      <c r="BB7" s="49">
        <v>14</v>
      </c>
      <c r="BC7" s="94">
        <v>15.07</v>
      </c>
      <c r="BD7" s="43">
        <f t="shared" si="21"/>
        <v>105.83005244258362</v>
      </c>
      <c r="BE7" s="43">
        <f t="shared" si="22"/>
        <v>-85.736719109250274</v>
      </c>
      <c r="BF7" s="43">
        <f t="shared" si="23"/>
        <v>110</v>
      </c>
      <c r="BG7" s="43">
        <f t="shared" si="24"/>
        <v>500</v>
      </c>
      <c r="BH7" s="44" t="str">
        <f t="shared" si="25"/>
        <v>No Need Shear Reinf.</v>
      </c>
      <c r="BI7" s="50" t="str">
        <f t="shared" si="26"/>
        <v>Use Φ10@110mm</v>
      </c>
      <c r="BJ7" s="43">
        <f t="shared" si="27"/>
        <v>300</v>
      </c>
      <c r="BK7" s="43">
        <f t="shared" si="28"/>
        <v>500</v>
      </c>
      <c r="BL7" s="43">
        <f t="shared" si="29"/>
        <v>220</v>
      </c>
      <c r="BM7" s="43">
        <f t="shared" si="30"/>
        <v>120</v>
      </c>
      <c r="BN7" s="43">
        <f t="shared" si="31"/>
        <v>460.90909090909082</v>
      </c>
      <c r="BO7" s="43">
        <f t="shared" si="32"/>
        <v>345.00000000000006</v>
      </c>
      <c r="BP7" s="43">
        <f t="shared" si="33"/>
        <v>1561.6369999999999</v>
      </c>
      <c r="BQ7" s="43">
        <f t="shared" si="34"/>
        <v>1389.962</v>
      </c>
      <c r="BR7" s="43">
        <f t="shared" si="35"/>
        <v>279.61703</v>
      </c>
      <c r="BS7" s="43">
        <f t="shared" si="36"/>
        <v>167.93657999999999</v>
      </c>
      <c r="BT7" s="43">
        <f t="shared" si="37"/>
        <v>0.17905379419160791</v>
      </c>
      <c r="BU7" s="43">
        <f t="shared" si="38"/>
        <v>0.12082098647301148</v>
      </c>
      <c r="BV7" s="43">
        <f t="shared" si="39"/>
        <v>4.3298998692697779E-2</v>
      </c>
      <c r="BW7" s="43">
        <f t="shared" si="40"/>
        <v>1.3848783921619331E-2</v>
      </c>
      <c r="BX7" s="44" t="str">
        <f t="shared" si="41"/>
        <v>Compression Controls</v>
      </c>
      <c r="BY7" s="44" t="str">
        <f t="shared" si="42"/>
        <v>Compression Controls</v>
      </c>
      <c r="BZ7" s="43">
        <f t="shared" si="43"/>
        <v>3207.0466699949325</v>
      </c>
      <c r="CA7" s="43">
        <f t="shared" si="44"/>
        <v>3492.0170268263441</v>
      </c>
      <c r="CB7" s="43">
        <f t="shared" si="45"/>
        <v>4180.1480000000001</v>
      </c>
      <c r="CC7" s="43">
        <f t="shared" si="46"/>
        <v>2173.6769600000002</v>
      </c>
      <c r="CD7" s="51" t="str">
        <f t="shared" si="47"/>
        <v xml:space="preserve">Safe </v>
      </c>
      <c r="CE7" s="9"/>
      <c r="CF7" s="4"/>
      <c r="CG7" s="43">
        <f t="shared" si="48"/>
        <v>385</v>
      </c>
      <c r="CH7" s="43">
        <f t="shared" si="49"/>
        <v>440</v>
      </c>
      <c r="CI7" s="43">
        <f t="shared" si="50"/>
        <v>233.29899869269775</v>
      </c>
      <c r="CJ7" s="52">
        <f t="shared" si="51"/>
        <v>15.302251702770556</v>
      </c>
      <c r="CK7" s="52">
        <f t="shared" si="52"/>
        <v>-6325.9814984380891</v>
      </c>
      <c r="CL7" s="52">
        <f t="shared" si="53"/>
        <v>135083.04038249448</v>
      </c>
      <c r="CM7" s="52">
        <f t="shared" si="54"/>
        <v>-86394000</v>
      </c>
      <c r="CN7" s="52">
        <f t="shared" si="55"/>
        <v>423.98807229055927</v>
      </c>
      <c r="CO7" s="53">
        <f t="shared" si="56"/>
        <v>3207.0466699949325</v>
      </c>
      <c r="CP7" s="18"/>
      <c r="CQ7" s="43">
        <f t="shared" si="57"/>
        <v>240</v>
      </c>
      <c r="CR7" s="43">
        <f t="shared" si="58"/>
        <v>103.84878392161934</v>
      </c>
      <c r="CS7" s="52">
        <f t="shared" si="59"/>
        <v>57.294845209654142</v>
      </c>
      <c r="CT7" s="52">
        <f t="shared" si="60"/>
        <v>-15601.525700633985</v>
      </c>
      <c r="CU7" s="52">
        <f t="shared" si="61"/>
        <v>119146.22946653741</v>
      </c>
      <c r="CV7" s="52">
        <f t="shared" si="62"/>
        <v>-47124000</v>
      </c>
      <c r="CW7" s="52">
        <f t="shared" si="63"/>
        <v>275.58617976123844</v>
      </c>
      <c r="CX7" s="53">
        <f t="shared" si="64"/>
        <v>3492.0170268263441</v>
      </c>
      <c r="CY7" s="18"/>
      <c r="CZ7" s="52">
        <f t="shared" si="65"/>
        <v>3570</v>
      </c>
      <c r="DA7" s="52">
        <f t="shared" si="66"/>
        <v>-1475845.149334138</v>
      </c>
      <c r="DB7" s="54">
        <f t="shared" si="67"/>
        <v>-60101778.725021191</v>
      </c>
      <c r="DC7" s="54">
        <f t="shared" si="68"/>
        <v>450.75127497504809</v>
      </c>
      <c r="DD7" s="52">
        <f t="shared" si="69"/>
        <v>532.11333678048072</v>
      </c>
      <c r="DE7" s="52">
        <f t="shared" si="70"/>
        <v>-60101778.725021191</v>
      </c>
      <c r="DF7" s="52">
        <f t="shared" si="71"/>
        <v>450.75127497504809</v>
      </c>
      <c r="DG7" s="53">
        <f t="shared" si="72"/>
        <v>3209.2011033218432</v>
      </c>
      <c r="DH7" s="18"/>
      <c r="DI7" s="52">
        <f t="shared" si="73"/>
        <v>5950</v>
      </c>
      <c r="DJ7" s="52">
        <f t="shared" si="74"/>
        <v>-1620199.4713327298</v>
      </c>
      <c r="DK7" s="52">
        <f t="shared" si="75"/>
        <v>-28408226.407073796</v>
      </c>
      <c r="DL7" s="52">
        <f t="shared" si="76"/>
        <v>288.83273255219467</v>
      </c>
      <c r="DM7" s="52">
        <f t="shared" si="77"/>
        <v>316.58177681076143</v>
      </c>
      <c r="DN7" s="52">
        <f t="shared" si="78"/>
        <v>-25376188.374771323</v>
      </c>
      <c r="DO7" s="52">
        <f t="shared" si="79"/>
        <v>287.15472348409344</v>
      </c>
      <c r="DP7" s="53">
        <f t="shared" si="80"/>
        <v>3368.1621935328553</v>
      </c>
      <c r="DT7" s="41" t="str">
        <f t="shared" si="84"/>
        <v>C7</v>
      </c>
      <c r="DU7" s="55">
        <f t="shared" si="85"/>
        <v>10</v>
      </c>
      <c r="DV7" s="56" t="str">
        <f t="shared" si="86"/>
        <v>φ</v>
      </c>
      <c r="DW7" s="57">
        <f t="shared" si="87"/>
        <v>14</v>
      </c>
    </row>
    <row r="8" spans="1:256" ht="15.75" customHeight="1" thickTop="1" thickBot="1" x14ac:dyDescent="0.3">
      <c r="A8" s="42" t="s">
        <v>144</v>
      </c>
      <c r="B8" s="175" t="s">
        <v>13</v>
      </c>
      <c r="C8" s="93">
        <v>23</v>
      </c>
      <c r="D8" s="43">
        <v>200</v>
      </c>
      <c r="E8" s="43">
        <v>500</v>
      </c>
      <c r="F8" s="42">
        <v>1600</v>
      </c>
      <c r="G8" s="94">
        <v>742.05</v>
      </c>
      <c r="H8" s="94">
        <v>5.71</v>
      </c>
      <c r="I8" s="94">
        <v>0</v>
      </c>
      <c r="J8" s="94">
        <v>10.66</v>
      </c>
      <c r="K8" s="94">
        <v>0</v>
      </c>
      <c r="L8" s="43">
        <f t="shared" si="0"/>
        <v>9.6</v>
      </c>
      <c r="M8" s="43">
        <f t="shared" si="1"/>
        <v>34</v>
      </c>
      <c r="N8" s="44" t="str">
        <f t="shared" si="2"/>
        <v>sho.col</v>
      </c>
      <c r="O8" s="45"/>
      <c r="P8" s="46">
        <f t="shared" si="3"/>
        <v>5.71</v>
      </c>
      <c r="Q8" s="46">
        <f t="shared" si="4"/>
        <v>0</v>
      </c>
      <c r="R8" s="46">
        <f t="shared" si="5"/>
        <v>10.66</v>
      </c>
      <c r="S8" s="46">
        <f t="shared" si="6"/>
        <v>0</v>
      </c>
      <c r="U8" s="289"/>
      <c r="V8" s="299"/>
      <c r="W8" s="15" t="s">
        <v>99</v>
      </c>
      <c r="X8" s="43">
        <v>0</v>
      </c>
      <c r="Y8" s="43">
        <f>(Y5*Y6^3/12)/Y7</f>
        <v>969696.96969696961</v>
      </c>
      <c r="Z8" s="293"/>
      <c r="AA8" s="293"/>
      <c r="AB8" s="293"/>
      <c r="AC8" s="295"/>
      <c r="AD8" s="295"/>
      <c r="AE8" s="293"/>
      <c r="AI8" s="4" t="s">
        <v>160</v>
      </c>
      <c r="AJ8" s="306" t="str">
        <f t="shared" si="7"/>
        <v>C8</v>
      </c>
      <c r="AK8" s="307"/>
      <c r="AL8" s="43">
        <v>200</v>
      </c>
      <c r="AM8" s="43">
        <v>500</v>
      </c>
      <c r="AN8" s="43">
        <f t="shared" si="8"/>
        <v>440</v>
      </c>
      <c r="AO8" s="43">
        <f t="shared" si="9"/>
        <v>742.05</v>
      </c>
      <c r="AP8" s="43">
        <f t="shared" si="10"/>
        <v>5.71</v>
      </c>
      <c r="AQ8" s="43">
        <f t="shared" si="11"/>
        <v>10.66</v>
      </c>
      <c r="AR8" s="43">
        <f t="shared" si="12"/>
        <v>20.059999999999999</v>
      </c>
      <c r="AS8" s="43">
        <f t="shared" si="13"/>
        <v>11.889846153846154</v>
      </c>
      <c r="AT8" s="43">
        <f t="shared" si="14"/>
        <v>20.059999999999999</v>
      </c>
      <c r="AU8" s="43">
        <f t="shared" si="15"/>
        <v>2.7033218785796106E-2</v>
      </c>
      <c r="AV8" s="44" t="str">
        <f t="shared" si="16"/>
        <v>Compression</v>
      </c>
      <c r="AW8" s="43">
        <f t="shared" si="17"/>
        <v>1000</v>
      </c>
      <c r="AX8" s="43">
        <f t="shared" si="18"/>
        <v>250</v>
      </c>
      <c r="AY8" s="43">
        <f t="shared" si="19"/>
        <v>0.01</v>
      </c>
      <c r="AZ8" s="47">
        <f t="shared" si="20"/>
        <v>8</v>
      </c>
      <c r="BA8" s="48" t="s">
        <v>65</v>
      </c>
      <c r="BB8" s="49">
        <v>14</v>
      </c>
      <c r="BC8" s="94">
        <v>5.33</v>
      </c>
      <c r="BD8" s="43">
        <f t="shared" si="21"/>
        <v>61.734197258173779</v>
      </c>
      <c r="BE8" s="43">
        <f t="shared" si="22"/>
        <v>-54.627530591507117</v>
      </c>
      <c r="BF8" s="43">
        <f t="shared" si="23"/>
        <v>100</v>
      </c>
      <c r="BG8" s="43">
        <f t="shared" si="24"/>
        <v>500</v>
      </c>
      <c r="BH8" s="44" t="str">
        <f t="shared" si="25"/>
        <v>No Need Shear Reinf.</v>
      </c>
      <c r="BI8" s="50" t="str">
        <f t="shared" si="26"/>
        <v>Use Φ10@100mm</v>
      </c>
      <c r="BJ8" s="43">
        <f t="shared" si="27"/>
        <v>200</v>
      </c>
      <c r="BK8" s="43">
        <f t="shared" si="28"/>
        <v>500</v>
      </c>
      <c r="BL8" s="43">
        <f t="shared" si="29"/>
        <v>220</v>
      </c>
      <c r="BM8" s="43">
        <f t="shared" si="30"/>
        <v>70</v>
      </c>
      <c r="BN8" s="43">
        <f t="shared" si="31"/>
        <v>460.90909090909082</v>
      </c>
      <c r="BO8" s="43">
        <f t="shared" si="32"/>
        <v>162.85714285714292</v>
      </c>
      <c r="BP8" s="43">
        <f t="shared" si="33"/>
        <v>1039.8696</v>
      </c>
      <c r="BQ8" s="43">
        <f t="shared" si="34"/>
        <v>746.46960000000001</v>
      </c>
      <c r="BR8" s="43">
        <f t="shared" si="35"/>
        <v>194.37202400000001</v>
      </c>
      <c r="BS8" s="43">
        <f t="shared" si="36"/>
        <v>34.023783999999999</v>
      </c>
      <c r="BT8" s="43">
        <f t="shared" si="37"/>
        <v>0.18691961376695695</v>
      </c>
      <c r="BU8" s="43">
        <f t="shared" si="38"/>
        <v>4.5579597615227729E-2</v>
      </c>
      <c r="BV8" s="43">
        <f t="shared" si="39"/>
        <v>7.6948992655481441E-3</v>
      </c>
      <c r="BW8" s="43">
        <f t="shared" si="40"/>
        <v>1.4365608786469915E-2</v>
      </c>
      <c r="BX8" s="44" t="str">
        <f t="shared" si="41"/>
        <v>Compression Controls</v>
      </c>
      <c r="BY8" s="44" t="str">
        <f t="shared" si="42"/>
        <v>Compression Controls</v>
      </c>
      <c r="BZ8" s="43">
        <f t="shared" si="43"/>
        <v>2527.7059248536411</v>
      </c>
      <c r="CA8" s="43">
        <f t="shared" si="44"/>
        <v>2217.2665086269021</v>
      </c>
      <c r="CB8" s="43">
        <f t="shared" si="45"/>
        <v>2868.1183999999998</v>
      </c>
      <c r="CC8" s="43">
        <f t="shared" si="46"/>
        <v>1491.421568</v>
      </c>
      <c r="CD8" s="51" t="str">
        <f t="shared" si="47"/>
        <v xml:space="preserve">Safe </v>
      </c>
      <c r="CE8" s="9"/>
      <c r="CF8" s="4"/>
      <c r="CG8" s="43">
        <f t="shared" si="48"/>
        <v>308</v>
      </c>
      <c r="CH8" s="43">
        <f t="shared" si="49"/>
        <v>440</v>
      </c>
      <c r="CI8" s="43">
        <f t="shared" si="50"/>
        <v>197.69489926554814</v>
      </c>
      <c r="CJ8" s="52">
        <f t="shared" si="51"/>
        <v>12.038752688318638</v>
      </c>
      <c r="CK8" s="52">
        <f t="shared" si="52"/>
        <v>-5834.1023657204014</v>
      </c>
      <c r="CL8" s="52">
        <f t="shared" si="53"/>
        <v>72269.941798029322</v>
      </c>
      <c r="CM8" s="52">
        <f t="shared" si="54"/>
        <v>-69115200</v>
      </c>
      <c r="CN8" s="52">
        <f t="shared" si="55"/>
        <v>495.85349914608202</v>
      </c>
      <c r="CO8" s="53">
        <f t="shared" si="56"/>
        <v>2527.7059248536411</v>
      </c>
      <c r="CP8" s="18"/>
      <c r="CQ8" s="43">
        <f t="shared" si="57"/>
        <v>140</v>
      </c>
      <c r="CR8" s="43">
        <f t="shared" si="58"/>
        <v>54.36560878646992</v>
      </c>
      <c r="CS8" s="52">
        <f t="shared" si="59"/>
        <v>109.44418967825094</v>
      </c>
      <c r="CT8" s="52">
        <f t="shared" si="60"/>
        <v>-18744.373109910266</v>
      </c>
      <c r="CU8" s="52">
        <f t="shared" si="61"/>
        <v>127260.78401665759</v>
      </c>
      <c r="CV8" s="52">
        <f t="shared" si="62"/>
        <v>-21991200</v>
      </c>
      <c r="CW8" s="52">
        <f t="shared" si="63"/>
        <v>171.32728940750363</v>
      </c>
      <c r="CX8" s="53">
        <f t="shared" si="64"/>
        <v>2217.2665086269021</v>
      </c>
      <c r="CY8" s="18"/>
      <c r="CZ8" s="52">
        <f t="shared" si="65"/>
        <v>2380</v>
      </c>
      <c r="DA8" s="52">
        <f t="shared" si="66"/>
        <v>-1153372.2794959908</v>
      </c>
      <c r="DB8" s="54">
        <f t="shared" si="67"/>
        <v>-47820430.689576171</v>
      </c>
      <c r="DC8" s="54">
        <f t="shared" si="68"/>
        <v>523.02627873627193</v>
      </c>
      <c r="DD8" s="52">
        <f t="shared" si="69"/>
        <v>541.49433547787464</v>
      </c>
      <c r="DE8" s="52">
        <f t="shared" si="70"/>
        <v>-47820430.689576171</v>
      </c>
      <c r="DF8" s="52">
        <f t="shared" si="71"/>
        <v>523.02627873627193</v>
      </c>
      <c r="DG8" s="53">
        <f t="shared" si="72"/>
        <v>2482.2746867846545</v>
      </c>
      <c r="DH8" s="18"/>
      <c r="DI8" s="52">
        <f t="shared" si="73"/>
        <v>5950</v>
      </c>
      <c r="DJ8" s="52">
        <f t="shared" si="74"/>
        <v>-1019049.2554410079</v>
      </c>
      <c r="DK8" s="52">
        <f t="shared" si="75"/>
        <v>-10160889.658648338</v>
      </c>
      <c r="DL8" s="52">
        <f t="shared" si="76"/>
        <v>180.71836202977178</v>
      </c>
      <c r="DM8" s="52">
        <f t="shared" si="77"/>
        <v>148.80899943673418</v>
      </c>
      <c r="DN8" s="52">
        <f t="shared" si="78"/>
        <v>-8019730.2684238963</v>
      </c>
      <c r="DO8" s="52">
        <f t="shared" si="79"/>
        <v>178.80682697184747</v>
      </c>
      <c r="DP8" s="53">
        <f t="shared" si="80"/>
        <v>2036.9440127914991</v>
      </c>
      <c r="DT8" s="41" t="str">
        <f t="shared" si="84"/>
        <v>C8</v>
      </c>
      <c r="DU8" s="55">
        <f t="shared" si="85"/>
        <v>8</v>
      </c>
      <c r="DV8" s="56" t="str">
        <f t="shared" si="86"/>
        <v>φ</v>
      </c>
      <c r="DW8" s="57">
        <f t="shared" si="87"/>
        <v>14</v>
      </c>
    </row>
    <row r="9" spans="1:256" ht="15.75" customHeight="1" thickTop="1" thickBot="1" x14ac:dyDescent="0.3">
      <c r="A9" s="42" t="s">
        <v>144</v>
      </c>
      <c r="B9" s="175" t="s">
        <v>14</v>
      </c>
      <c r="C9" s="93">
        <v>26</v>
      </c>
      <c r="D9" s="43">
        <v>300</v>
      </c>
      <c r="E9" s="43">
        <v>600</v>
      </c>
      <c r="F9" s="42">
        <v>1600</v>
      </c>
      <c r="G9" s="94">
        <v>842.21</v>
      </c>
      <c r="H9" s="94">
        <v>6.51</v>
      </c>
      <c r="I9" s="94">
        <v>0</v>
      </c>
      <c r="J9" s="94">
        <v>-7.5</v>
      </c>
      <c r="K9" s="94">
        <v>0</v>
      </c>
      <c r="L9" s="43">
        <f t="shared" si="0"/>
        <v>8</v>
      </c>
      <c r="M9" s="43">
        <f t="shared" si="1"/>
        <v>34</v>
      </c>
      <c r="N9" s="44" t="str">
        <f t="shared" si="2"/>
        <v>sho.col</v>
      </c>
      <c r="O9" s="45"/>
      <c r="P9" s="46">
        <f t="shared" si="3"/>
        <v>6.51</v>
      </c>
      <c r="Q9" s="46">
        <f t="shared" si="4"/>
        <v>0</v>
      </c>
      <c r="R9" s="46">
        <f t="shared" si="5"/>
        <v>7.5</v>
      </c>
      <c r="S9" s="46">
        <f t="shared" si="6"/>
        <v>0</v>
      </c>
      <c r="U9" s="289"/>
      <c r="V9" s="300" t="s">
        <v>101</v>
      </c>
      <c r="W9" s="15" t="s">
        <v>86</v>
      </c>
      <c r="X9" s="43">
        <v>0</v>
      </c>
      <c r="Y9" s="43"/>
      <c r="Z9" s="293"/>
      <c r="AA9" s="293"/>
      <c r="AB9" s="293"/>
      <c r="AC9" s="292">
        <v>0</v>
      </c>
      <c r="AD9" s="292">
        <v>1</v>
      </c>
      <c r="AE9" s="293"/>
      <c r="AI9" s="4" t="s">
        <v>163</v>
      </c>
      <c r="AJ9" s="306" t="str">
        <f t="shared" si="7"/>
        <v>C9</v>
      </c>
      <c r="AK9" s="307"/>
      <c r="AL9" s="43">
        <v>300</v>
      </c>
      <c r="AM9" s="43">
        <v>600</v>
      </c>
      <c r="AN9" s="43">
        <f t="shared" si="8"/>
        <v>540</v>
      </c>
      <c r="AO9" s="43">
        <f t="shared" si="9"/>
        <v>842.21</v>
      </c>
      <c r="AP9" s="43">
        <f t="shared" si="10"/>
        <v>6.51</v>
      </c>
      <c r="AQ9" s="43">
        <f t="shared" si="11"/>
        <v>7.5</v>
      </c>
      <c r="AR9" s="43">
        <f t="shared" si="12"/>
        <v>14.586923076923076</v>
      </c>
      <c r="AS9" s="43">
        <f t="shared" si="13"/>
        <v>9.2526923076923069</v>
      </c>
      <c r="AT9" s="43">
        <f t="shared" si="14"/>
        <v>14.586923076923076</v>
      </c>
      <c r="AU9" s="43">
        <f t="shared" si="15"/>
        <v>1.7319817001606577E-2</v>
      </c>
      <c r="AV9" s="44" t="str">
        <f t="shared" si="16"/>
        <v>Compression</v>
      </c>
      <c r="AW9" s="43">
        <f t="shared" si="17"/>
        <v>1800</v>
      </c>
      <c r="AX9" s="43">
        <f t="shared" si="18"/>
        <v>450</v>
      </c>
      <c r="AY9" s="43">
        <f t="shared" si="19"/>
        <v>0.01</v>
      </c>
      <c r="AZ9" s="47">
        <f t="shared" si="20"/>
        <v>12</v>
      </c>
      <c r="BA9" s="48" t="s">
        <v>65</v>
      </c>
      <c r="BB9" s="49">
        <v>14</v>
      </c>
      <c r="BC9" s="94">
        <v>3.75</v>
      </c>
      <c r="BD9" s="43">
        <f t="shared" si="21"/>
        <v>126.99606293110035</v>
      </c>
      <c r="BE9" s="43">
        <f t="shared" si="22"/>
        <v>-121.99606293110035</v>
      </c>
      <c r="BF9" s="43">
        <f t="shared" si="23"/>
        <v>110</v>
      </c>
      <c r="BG9" s="43">
        <f t="shared" si="24"/>
        <v>600</v>
      </c>
      <c r="BH9" s="44" t="str">
        <f t="shared" si="25"/>
        <v>No Need Shear Reinf.</v>
      </c>
      <c r="BI9" s="50" t="str">
        <f t="shared" si="26"/>
        <v>Use Φ10@110mm</v>
      </c>
      <c r="BJ9" s="43">
        <f t="shared" si="27"/>
        <v>300</v>
      </c>
      <c r="BK9" s="43">
        <f t="shared" si="28"/>
        <v>600</v>
      </c>
      <c r="BL9" s="43">
        <f t="shared" si="29"/>
        <v>270</v>
      </c>
      <c r="BM9" s="43">
        <f t="shared" si="30"/>
        <v>120</v>
      </c>
      <c r="BN9" s="43">
        <f t="shared" si="31"/>
        <v>486.66666666666657</v>
      </c>
      <c r="BO9" s="43">
        <f t="shared" si="32"/>
        <v>345.00000000000006</v>
      </c>
      <c r="BP9" s="43">
        <f t="shared" si="33"/>
        <v>1916.8044</v>
      </c>
      <c r="BQ9" s="43">
        <f t="shared" si="34"/>
        <v>1667.9543999999999</v>
      </c>
      <c r="BR9" s="43">
        <f t="shared" si="35"/>
        <v>408.58725600000002</v>
      </c>
      <c r="BS9" s="43">
        <f t="shared" si="36"/>
        <v>201.52389600000001</v>
      </c>
      <c r="BT9" s="43">
        <f t="shared" si="37"/>
        <v>0.21316064174310118</v>
      </c>
      <c r="BU9" s="43">
        <f t="shared" si="38"/>
        <v>0.12082098647301151</v>
      </c>
      <c r="BV9" s="43">
        <f t="shared" si="39"/>
        <v>7.7296636230868776E-3</v>
      </c>
      <c r="BW9" s="43">
        <f t="shared" si="40"/>
        <v>8.9051424229111501E-3</v>
      </c>
      <c r="BX9" s="44" t="str">
        <f t="shared" si="41"/>
        <v>Compression Controls</v>
      </c>
      <c r="BY9" s="44" t="str">
        <f t="shared" si="42"/>
        <v>Compression Controls</v>
      </c>
      <c r="BZ9" s="43">
        <f t="shared" si="43"/>
        <v>4509.9912268247581</v>
      </c>
      <c r="CA9" s="43">
        <f t="shared" si="44"/>
        <v>4341.0089684298182</v>
      </c>
      <c r="CB9" s="43">
        <f t="shared" si="45"/>
        <v>5016.1776</v>
      </c>
      <c r="CC9" s="43">
        <f t="shared" si="46"/>
        <v>2608.4123520000003</v>
      </c>
      <c r="CD9" s="51" t="str">
        <f t="shared" si="47"/>
        <v xml:space="preserve">Safe </v>
      </c>
      <c r="CE9" s="9"/>
      <c r="CF9" s="4"/>
      <c r="CG9" s="43">
        <f t="shared" si="48"/>
        <v>462</v>
      </c>
      <c r="CH9" s="43">
        <f t="shared" si="49"/>
        <v>540</v>
      </c>
      <c r="CI9" s="43">
        <f t="shared" si="50"/>
        <v>247.72966362308688</v>
      </c>
      <c r="CJ9" s="52">
        <f t="shared" si="51"/>
        <v>14.410870090356422</v>
      </c>
      <c r="CK9" s="52">
        <f t="shared" si="52"/>
        <v>-8423.7396975849351</v>
      </c>
      <c r="CL9" s="52">
        <f t="shared" si="53"/>
        <v>105578.30666658998</v>
      </c>
      <c r="CM9" s="52">
        <f t="shared" si="54"/>
        <v>-127234800</v>
      </c>
      <c r="CN9" s="52">
        <f t="shared" si="55"/>
        <v>597.03874165158254</v>
      </c>
      <c r="CO9" s="53">
        <f t="shared" si="56"/>
        <v>4509.9912268247581</v>
      </c>
      <c r="CP9" s="18"/>
      <c r="CQ9" s="43">
        <f t="shared" si="57"/>
        <v>240</v>
      </c>
      <c r="CR9" s="43">
        <f t="shared" si="58"/>
        <v>98.905142422911155</v>
      </c>
      <c r="CS9" s="52">
        <f t="shared" si="59"/>
        <v>72.190381865786946</v>
      </c>
      <c r="CT9" s="52">
        <f t="shared" si="60"/>
        <v>-20371.383295577732</v>
      </c>
      <c r="CU9" s="52">
        <f t="shared" si="61"/>
        <v>127117.21173797012</v>
      </c>
      <c r="CV9" s="52">
        <f t="shared" si="62"/>
        <v>-56548800</v>
      </c>
      <c r="CW9" s="52">
        <f t="shared" si="63"/>
        <v>285.6264851925327</v>
      </c>
      <c r="CX9" s="53">
        <f t="shared" si="64"/>
        <v>4341.0089684298182</v>
      </c>
      <c r="CY9" s="18"/>
      <c r="CZ9" s="52">
        <f t="shared" si="65"/>
        <v>3570</v>
      </c>
      <c r="DA9" s="52">
        <f t="shared" si="66"/>
        <v>-2086810.2017311596</v>
      </c>
      <c r="DB9" s="54">
        <f t="shared" si="67"/>
        <v>-90585248.289334014</v>
      </c>
      <c r="DC9" s="54">
        <f t="shared" si="68"/>
        <v>625.13062036185909</v>
      </c>
      <c r="DD9" s="52">
        <f t="shared" si="69"/>
        <v>551.05023013864354</v>
      </c>
      <c r="DE9" s="52">
        <f t="shared" si="70"/>
        <v>-90585248.289334014</v>
      </c>
      <c r="DF9" s="52">
        <f t="shared" si="71"/>
        <v>625.13062036185909</v>
      </c>
      <c r="DG9" s="53">
        <f t="shared" si="72"/>
        <v>4452.4370293836746</v>
      </c>
      <c r="DH9" s="18"/>
      <c r="DI9" s="52">
        <f t="shared" si="73"/>
        <v>7140</v>
      </c>
      <c r="DJ9" s="52">
        <f t="shared" si="74"/>
        <v>-2014834.5662008286</v>
      </c>
      <c r="DK9" s="52">
        <f t="shared" si="75"/>
        <v>-34035513.384025365</v>
      </c>
      <c r="DL9" s="52">
        <f t="shared" si="76"/>
        <v>298.17648431908759</v>
      </c>
      <c r="DM9" s="52">
        <f t="shared" si="77"/>
        <v>237.23984357957889</v>
      </c>
      <c r="DN9" s="52">
        <f t="shared" si="78"/>
        <v>-27188253.492700957</v>
      </c>
      <c r="DO9" s="52">
        <f t="shared" si="79"/>
        <v>295.09368054380275</v>
      </c>
      <c r="DP9" s="53">
        <f t="shared" si="80"/>
        <v>4118.5069658992688</v>
      </c>
      <c r="DT9" s="41" t="str">
        <f t="shared" si="84"/>
        <v>C9</v>
      </c>
      <c r="DU9" s="55">
        <f t="shared" si="85"/>
        <v>12</v>
      </c>
      <c r="DV9" s="56" t="str">
        <f t="shared" si="86"/>
        <v>φ</v>
      </c>
      <c r="DW9" s="57">
        <f t="shared" si="87"/>
        <v>14</v>
      </c>
    </row>
    <row r="10" spans="1:256" s="58" customFormat="1" ht="15.75" customHeight="1" thickTop="1" thickBot="1" x14ac:dyDescent="0.3">
      <c r="A10" s="42" t="s">
        <v>144</v>
      </c>
      <c r="B10" s="175" t="s">
        <v>16</v>
      </c>
      <c r="C10" s="93">
        <v>35</v>
      </c>
      <c r="D10" s="43">
        <v>200</v>
      </c>
      <c r="E10" s="43">
        <v>500</v>
      </c>
      <c r="F10" s="59">
        <v>1600</v>
      </c>
      <c r="G10" s="94">
        <v>480.98</v>
      </c>
      <c r="H10" s="94">
        <v>32.19</v>
      </c>
      <c r="I10" s="94">
        <v>0</v>
      </c>
      <c r="J10" s="94">
        <v>0.5</v>
      </c>
      <c r="K10" s="94">
        <v>0</v>
      </c>
      <c r="L10" s="43">
        <f t="shared" si="0"/>
        <v>9.6</v>
      </c>
      <c r="M10" s="43">
        <f t="shared" si="1"/>
        <v>34</v>
      </c>
      <c r="N10" s="44" t="str">
        <f t="shared" si="2"/>
        <v>sho.col</v>
      </c>
      <c r="O10" s="60"/>
      <c r="P10" s="46">
        <f t="shared" si="3"/>
        <v>32.19</v>
      </c>
      <c r="Q10" s="46">
        <f t="shared" si="4"/>
        <v>0</v>
      </c>
      <c r="R10" s="46">
        <f t="shared" si="5"/>
        <v>0.5</v>
      </c>
      <c r="S10" s="46">
        <f t="shared" si="6"/>
        <v>0</v>
      </c>
      <c r="T10" s="61"/>
      <c r="U10" s="303"/>
      <c r="V10" s="304"/>
      <c r="W10" s="62" t="s">
        <v>97</v>
      </c>
      <c r="X10" s="63">
        <v>0</v>
      </c>
      <c r="Y10" s="63"/>
      <c r="Z10" s="305"/>
      <c r="AA10" s="305"/>
      <c r="AB10" s="305"/>
      <c r="AC10" s="305"/>
      <c r="AD10" s="303"/>
      <c r="AE10" s="303"/>
      <c r="AF10" s="64"/>
      <c r="AG10" s="61"/>
      <c r="AH10" s="61"/>
      <c r="AI10" s="61" t="s">
        <v>158</v>
      </c>
      <c r="AJ10" s="306" t="str">
        <f t="shared" si="7"/>
        <v>C11</v>
      </c>
      <c r="AK10" s="307"/>
      <c r="AL10" s="43">
        <v>200</v>
      </c>
      <c r="AM10" s="43">
        <v>500</v>
      </c>
      <c r="AN10" s="43">
        <f t="shared" si="8"/>
        <v>440</v>
      </c>
      <c r="AO10" s="43">
        <f t="shared" si="9"/>
        <v>480.98</v>
      </c>
      <c r="AP10" s="43">
        <f t="shared" si="10"/>
        <v>32.19</v>
      </c>
      <c r="AQ10" s="43">
        <f t="shared" si="11"/>
        <v>0.5</v>
      </c>
      <c r="AR10" s="43">
        <f t="shared" si="12"/>
        <v>32.863076923076918</v>
      </c>
      <c r="AS10" s="43">
        <f t="shared" si="13"/>
        <v>7.4332307692307689</v>
      </c>
      <c r="AT10" s="43">
        <f t="shared" si="14"/>
        <v>32.863076923076918</v>
      </c>
      <c r="AU10" s="43">
        <f t="shared" si="15"/>
        <v>6.8325246212060625E-2</v>
      </c>
      <c r="AV10" s="44" t="str">
        <f t="shared" si="16"/>
        <v>Compression</v>
      </c>
      <c r="AW10" s="43">
        <f t="shared" si="17"/>
        <v>1000</v>
      </c>
      <c r="AX10" s="43">
        <f t="shared" si="18"/>
        <v>250</v>
      </c>
      <c r="AY10" s="43">
        <f t="shared" si="19"/>
        <v>0.01</v>
      </c>
      <c r="AZ10" s="47">
        <f t="shared" si="20"/>
        <v>8</v>
      </c>
      <c r="BA10" s="48" t="s">
        <v>65</v>
      </c>
      <c r="BB10" s="49">
        <v>14</v>
      </c>
      <c r="BC10" s="94">
        <v>16.100000000000001</v>
      </c>
      <c r="BD10" s="63">
        <f t="shared" si="21"/>
        <v>61.734197258173779</v>
      </c>
      <c r="BE10" s="63">
        <f t="shared" si="22"/>
        <v>-40.267530591507118</v>
      </c>
      <c r="BF10" s="63">
        <f t="shared" si="23"/>
        <v>100</v>
      </c>
      <c r="BG10" s="63">
        <f t="shared" si="24"/>
        <v>500</v>
      </c>
      <c r="BH10" s="63" t="str">
        <f t="shared" si="25"/>
        <v>No Need Shear Reinf.</v>
      </c>
      <c r="BI10" s="65" t="str">
        <f t="shared" si="26"/>
        <v>Use Φ10@100mm</v>
      </c>
      <c r="BJ10" s="63">
        <f t="shared" si="27"/>
        <v>200</v>
      </c>
      <c r="BK10" s="63">
        <f t="shared" si="28"/>
        <v>500</v>
      </c>
      <c r="BL10" s="63">
        <f t="shared" si="29"/>
        <v>220</v>
      </c>
      <c r="BM10" s="63">
        <f t="shared" si="30"/>
        <v>70</v>
      </c>
      <c r="BN10" s="63">
        <f t="shared" si="31"/>
        <v>460.90909090909082</v>
      </c>
      <c r="BO10" s="63">
        <f t="shared" si="32"/>
        <v>162.85714285714292</v>
      </c>
      <c r="BP10" s="63">
        <f t="shared" si="33"/>
        <v>1039.8696</v>
      </c>
      <c r="BQ10" s="63">
        <f t="shared" si="34"/>
        <v>746.46960000000001</v>
      </c>
      <c r="BR10" s="63">
        <f t="shared" si="35"/>
        <v>194.37202400000001</v>
      </c>
      <c r="BS10" s="63">
        <f t="shared" si="36"/>
        <v>34.023783999999999</v>
      </c>
      <c r="BT10" s="63">
        <f t="shared" si="37"/>
        <v>0.18691961376695695</v>
      </c>
      <c r="BU10" s="63">
        <f t="shared" si="38"/>
        <v>4.5579597615227729E-2</v>
      </c>
      <c r="BV10" s="63">
        <f t="shared" si="39"/>
        <v>6.6925859703106147E-2</v>
      </c>
      <c r="BW10" s="63">
        <f t="shared" si="40"/>
        <v>1.0395442637947524E-3</v>
      </c>
      <c r="BX10" s="63" t="str">
        <f t="shared" si="41"/>
        <v>Compression Controls</v>
      </c>
      <c r="BY10" s="63" t="str">
        <f t="shared" si="42"/>
        <v>Compression Controls</v>
      </c>
      <c r="BZ10" s="63">
        <f t="shared" si="43"/>
        <v>1942.3208489290469</v>
      </c>
      <c r="CA10" s="63">
        <f t="shared" si="44"/>
        <v>2568.8045313910575</v>
      </c>
      <c r="CB10" s="63">
        <f t="shared" si="45"/>
        <v>2868.1183999999998</v>
      </c>
      <c r="CC10" s="63">
        <f t="shared" si="46"/>
        <v>1170.1728419401068</v>
      </c>
      <c r="CD10" s="66" t="str">
        <f t="shared" si="47"/>
        <v xml:space="preserve">Safe </v>
      </c>
      <c r="CE10" s="67"/>
      <c r="CF10" s="61"/>
      <c r="CG10" s="63">
        <f t="shared" si="48"/>
        <v>308</v>
      </c>
      <c r="CH10" s="63">
        <f t="shared" si="49"/>
        <v>440</v>
      </c>
      <c r="CI10" s="63">
        <f t="shared" si="50"/>
        <v>256.92585970310614</v>
      </c>
      <c r="CJ10" s="63">
        <f t="shared" si="51"/>
        <v>9.2633727206371468</v>
      </c>
      <c r="CK10" s="63">
        <f t="shared" si="52"/>
        <v>-3391.767994160688</v>
      </c>
      <c r="CL10" s="63">
        <f t="shared" si="53"/>
        <v>126344.66145163875</v>
      </c>
      <c r="CM10" s="63">
        <f t="shared" si="54"/>
        <v>-69115200</v>
      </c>
      <c r="CN10" s="63">
        <f t="shared" si="55"/>
        <v>381.63720366838101</v>
      </c>
      <c r="CO10" s="63">
        <f t="shared" si="56"/>
        <v>1942.3208489290469</v>
      </c>
      <c r="CP10" s="68"/>
      <c r="CQ10" s="63">
        <f t="shared" si="57"/>
        <v>140</v>
      </c>
      <c r="CR10" s="63">
        <f t="shared" si="58"/>
        <v>41.039544263794753</v>
      </c>
      <c r="CS10" s="63">
        <f t="shared" si="59"/>
        <v>144.98211680311258</v>
      </c>
      <c r="CT10" s="63">
        <f t="shared" si="60"/>
        <v>-28694.992704871522</v>
      </c>
      <c r="CU10" s="63">
        <f t="shared" si="61"/>
        <v>68952.494512442267</v>
      </c>
      <c r="CV10" s="63">
        <f t="shared" si="62"/>
        <v>-21991200</v>
      </c>
      <c r="CW10" s="63">
        <f t="shared" si="63"/>
        <v>199.35196361280572</v>
      </c>
      <c r="CX10" s="63">
        <f t="shared" si="64"/>
        <v>2568.8045313910575</v>
      </c>
      <c r="CY10" s="68"/>
      <c r="CZ10" s="63">
        <f t="shared" si="65"/>
        <v>2380</v>
      </c>
      <c r="DA10" s="63">
        <f t="shared" si="66"/>
        <v>-871432.90781321481</v>
      </c>
      <c r="DB10" s="69">
        <f t="shared" si="67"/>
        <v>-48254617.321967646</v>
      </c>
      <c r="DC10" s="69">
        <f t="shared" si="68"/>
        <v>415.00341861334789</v>
      </c>
      <c r="DD10" s="63">
        <f t="shared" si="69"/>
        <v>526.26566763656103</v>
      </c>
      <c r="DE10" s="63">
        <f t="shared" si="70"/>
        <v>-48254617.321967646</v>
      </c>
      <c r="DF10" s="63">
        <f t="shared" si="71"/>
        <v>415.00341861334789</v>
      </c>
      <c r="DG10" s="63">
        <f t="shared" si="72"/>
        <v>1968.0858725995361</v>
      </c>
      <c r="DH10" s="68"/>
      <c r="DI10" s="63">
        <f t="shared" si="73"/>
        <v>5950</v>
      </c>
      <c r="DJ10" s="63">
        <f t="shared" si="74"/>
        <v>-1177629.4232608424</v>
      </c>
      <c r="DK10" s="63">
        <f t="shared" si="75"/>
        <v>-10063204.275271321</v>
      </c>
      <c r="DL10" s="63">
        <f t="shared" si="76"/>
        <v>206.12605952630895</v>
      </c>
      <c r="DM10" s="63">
        <f t="shared" si="77"/>
        <v>224.27679277144094</v>
      </c>
      <c r="DN10" s="63">
        <f t="shared" si="78"/>
        <v>-7714560.9469241891</v>
      </c>
      <c r="DO10" s="63">
        <f t="shared" si="79"/>
        <v>204.26827436590963</v>
      </c>
      <c r="DP10" s="63">
        <f t="shared" si="80"/>
        <v>2363.1793171279282</v>
      </c>
      <c r="DQ10" s="61"/>
      <c r="DR10" s="61"/>
      <c r="DS10" s="61"/>
      <c r="DT10" s="41" t="str">
        <f t="shared" si="84"/>
        <v>C11</v>
      </c>
      <c r="DU10" s="55">
        <f t="shared" si="85"/>
        <v>8</v>
      </c>
      <c r="DV10" s="56" t="str">
        <f t="shared" si="86"/>
        <v>φ</v>
      </c>
      <c r="DW10" s="57">
        <f t="shared" si="87"/>
        <v>14</v>
      </c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</row>
    <row r="11" spans="1:256" ht="15.75" customHeight="1" thickTop="1" thickBot="1" x14ac:dyDescent="0.3">
      <c r="A11" s="42" t="s">
        <v>144</v>
      </c>
      <c r="B11" s="175" t="s">
        <v>17</v>
      </c>
      <c r="C11" s="93">
        <v>38</v>
      </c>
      <c r="D11" s="43">
        <v>200</v>
      </c>
      <c r="E11" s="43">
        <v>500</v>
      </c>
      <c r="F11" s="42">
        <v>1600</v>
      </c>
      <c r="G11" s="94">
        <v>847.58</v>
      </c>
      <c r="H11" s="94">
        <v>10.48</v>
      </c>
      <c r="I11" s="94">
        <v>0</v>
      </c>
      <c r="J11" s="94">
        <v>9.4499999999999993</v>
      </c>
      <c r="K11" s="94">
        <v>0</v>
      </c>
      <c r="L11" s="43">
        <f t="shared" si="0"/>
        <v>9.6</v>
      </c>
      <c r="M11" s="43">
        <f t="shared" si="1"/>
        <v>34</v>
      </c>
      <c r="N11" s="44" t="str">
        <f t="shared" si="2"/>
        <v>sho.col</v>
      </c>
      <c r="O11" s="45"/>
      <c r="P11" s="46">
        <f t="shared" si="3"/>
        <v>10.48</v>
      </c>
      <c r="Q11" s="46">
        <f t="shared" si="4"/>
        <v>0</v>
      </c>
      <c r="R11" s="46">
        <f t="shared" si="5"/>
        <v>9.4499999999999993</v>
      </c>
      <c r="S11" s="46">
        <f t="shared" si="6"/>
        <v>0</v>
      </c>
      <c r="U11" s="289"/>
      <c r="V11" s="298"/>
      <c r="W11" s="15" t="s">
        <v>98</v>
      </c>
      <c r="X11" s="43">
        <v>0</v>
      </c>
      <c r="Y11" s="43"/>
      <c r="Z11" s="292">
        <v>0</v>
      </c>
      <c r="AA11" s="292">
        <v>0</v>
      </c>
      <c r="AB11" s="292">
        <v>0</v>
      </c>
      <c r="AC11" s="292">
        <v>0</v>
      </c>
      <c r="AD11" s="293"/>
      <c r="AE11" s="293"/>
      <c r="AF11" s="70"/>
      <c r="AI11" s="4" t="s">
        <v>159</v>
      </c>
      <c r="AJ11" s="306" t="str">
        <f t="shared" si="7"/>
        <v>C12</v>
      </c>
      <c r="AK11" s="307"/>
      <c r="AL11" s="43">
        <v>200</v>
      </c>
      <c r="AM11" s="43">
        <v>500</v>
      </c>
      <c r="AN11" s="43">
        <f t="shared" si="8"/>
        <v>440</v>
      </c>
      <c r="AO11" s="43">
        <f t="shared" si="9"/>
        <v>847.58</v>
      </c>
      <c r="AP11" s="43">
        <f t="shared" si="10"/>
        <v>10.48</v>
      </c>
      <c r="AQ11" s="43">
        <f t="shared" si="11"/>
        <v>9.4499999999999993</v>
      </c>
      <c r="AR11" s="43">
        <f t="shared" si="12"/>
        <v>23.201153846153844</v>
      </c>
      <c r="AS11" s="43">
        <f t="shared" si="13"/>
        <v>11.707230769230769</v>
      </c>
      <c r="AT11" s="43">
        <f t="shared" si="14"/>
        <v>23.201153846153844</v>
      </c>
      <c r="AU11" s="43">
        <f t="shared" si="15"/>
        <v>2.7373408818228182E-2</v>
      </c>
      <c r="AV11" s="44" t="str">
        <f t="shared" si="16"/>
        <v>Compression</v>
      </c>
      <c r="AW11" s="43">
        <f t="shared" si="17"/>
        <v>1000</v>
      </c>
      <c r="AX11" s="43">
        <f t="shared" si="18"/>
        <v>250</v>
      </c>
      <c r="AY11" s="43">
        <f t="shared" si="19"/>
        <v>0.01</v>
      </c>
      <c r="AZ11" s="47">
        <f t="shared" si="20"/>
        <v>8</v>
      </c>
      <c r="BA11" s="48" t="s">
        <v>65</v>
      </c>
      <c r="BB11" s="49">
        <v>14</v>
      </c>
      <c r="BC11" s="94">
        <v>5.24</v>
      </c>
      <c r="BD11" s="43">
        <f t="shared" si="21"/>
        <v>61.734197258173779</v>
      </c>
      <c r="BE11" s="43">
        <f t="shared" si="22"/>
        <v>-54.747530591507115</v>
      </c>
      <c r="BF11" s="43">
        <f t="shared" si="23"/>
        <v>100</v>
      </c>
      <c r="BG11" s="43">
        <f t="shared" si="24"/>
        <v>500</v>
      </c>
      <c r="BH11" s="44" t="str">
        <f t="shared" si="25"/>
        <v>No Need Shear Reinf.</v>
      </c>
      <c r="BI11" s="50" t="str">
        <f t="shared" si="26"/>
        <v>Use Φ10@100mm</v>
      </c>
      <c r="BJ11" s="43">
        <f t="shared" si="27"/>
        <v>200</v>
      </c>
      <c r="BK11" s="43">
        <f t="shared" si="28"/>
        <v>500</v>
      </c>
      <c r="BL11" s="43">
        <f t="shared" si="29"/>
        <v>220</v>
      </c>
      <c r="BM11" s="43">
        <f t="shared" si="30"/>
        <v>70</v>
      </c>
      <c r="BN11" s="43">
        <f t="shared" si="31"/>
        <v>460.90909090909082</v>
      </c>
      <c r="BO11" s="43">
        <f t="shared" si="32"/>
        <v>162.85714285714292</v>
      </c>
      <c r="BP11" s="43">
        <f t="shared" si="33"/>
        <v>1039.8696</v>
      </c>
      <c r="BQ11" s="43">
        <f t="shared" si="34"/>
        <v>746.46960000000001</v>
      </c>
      <c r="BR11" s="43">
        <f t="shared" si="35"/>
        <v>194.37202400000001</v>
      </c>
      <c r="BS11" s="43">
        <f t="shared" si="36"/>
        <v>34.023783999999999</v>
      </c>
      <c r="BT11" s="43">
        <f t="shared" si="37"/>
        <v>0.18691961376695695</v>
      </c>
      <c r="BU11" s="43">
        <f t="shared" si="38"/>
        <v>4.5579597615227729E-2</v>
      </c>
      <c r="BV11" s="43">
        <f t="shared" si="39"/>
        <v>1.236461454965903E-2</v>
      </c>
      <c r="BW11" s="43">
        <f t="shared" si="40"/>
        <v>1.1149390028079943E-2</v>
      </c>
      <c r="BX11" s="44" t="str">
        <f t="shared" si="41"/>
        <v>Compression Controls</v>
      </c>
      <c r="BY11" s="44" t="str">
        <f t="shared" si="42"/>
        <v>Compression Controls</v>
      </c>
      <c r="BZ11" s="43">
        <f t="shared" si="43"/>
        <v>2480.6129879182349</v>
      </c>
      <c r="CA11" s="43">
        <f t="shared" si="44"/>
        <v>2302.2998376642227</v>
      </c>
      <c r="CB11" s="43">
        <f t="shared" si="45"/>
        <v>2868.1183999999998</v>
      </c>
      <c r="CC11" s="43">
        <f t="shared" si="46"/>
        <v>1491.421568</v>
      </c>
      <c r="CD11" s="51" t="str">
        <f t="shared" si="47"/>
        <v xml:space="preserve">Safe </v>
      </c>
      <c r="CE11" s="9"/>
      <c r="CF11" s="4"/>
      <c r="CG11" s="43">
        <f t="shared" si="48"/>
        <v>308</v>
      </c>
      <c r="CH11" s="43">
        <f t="shared" si="49"/>
        <v>440</v>
      </c>
      <c r="CI11" s="43">
        <f t="shared" si="50"/>
        <v>202.36461454965905</v>
      </c>
      <c r="CJ11" s="52">
        <f t="shared" si="51"/>
        <v>11.760949439191418</v>
      </c>
      <c r="CK11" s="52">
        <f t="shared" si="52"/>
        <v>-5589.6355064884465</v>
      </c>
      <c r="CL11" s="52">
        <f t="shared" si="53"/>
        <v>77682.581865459622</v>
      </c>
      <c r="CM11" s="52">
        <f t="shared" si="54"/>
        <v>-69115200</v>
      </c>
      <c r="CN11" s="52">
        <f t="shared" si="55"/>
        <v>486.52168940735419</v>
      </c>
      <c r="CO11" s="53">
        <f t="shared" si="56"/>
        <v>2480.6129879182349</v>
      </c>
      <c r="CP11" s="18"/>
      <c r="CQ11" s="43">
        <f t="shared" si="57"/>
        <v>140</v>
      </c>
      <c r="CR11" s="43">
        <f t="shared" si="58"/>
        <v>51.149390028079949</v>
      </c>
      <c r="CS11" s="52">
        <f t="shared" si="59"/>
        <v>116.32592288458521</v>
      </c>
      <c r="CT11" s="52">
        <f t="shared" si="60"/>
        <v>-20671.258407683861</v>
      </c>
      <c r="CU11" s="52">
        <f t="shared" si="61"/>
        <v>115969.68955648028</v>
      </c>
      <c r="CV11" s="52">
        <f t="shared" si="62"/>
        <v>-21991200</v>
      </c>
      <c r="CW11" s="52">
        <f t="shared" si="63"/>
        <v>178.0648178762778</v>
      </c>
      <c r="CX11" s="53">
        <f t="shared" si="64"/>
        <v>2302.2998376642227</v>
      </c>
      <c r="CY11" s="18"/>
      <c r="CZ11" s="52">
        <f t="shared" si="65"/>
        <v>2380</v>
      </c>
      <c r="DA11" s="52">
        <f t="shared" si="66"/>
        <v>-1131144.434743623</v>
      </c>
      <c r="DB11" s="54">
        <f t="shared" si="67"/>
        <v>-47854661.570494816</v>
      </c>
      <c r="DC11" s="54">
        <f t="shared" si="68"/>
        <v>514.36192389218229</v>
      </c>
      <c r="DD11" s="52">
        <f t="shared" si="69"/>
        <v>540.50881572172091</v>
      </c>
      <c r="DE11" s="52">
        <f t="shared" si="70"/>
        <v>-47854661.570494816</v>
      </c>
      <c r="DF11" s="52">
        <f t="shared" si="71"/>
        <v>514.36192389218229</v>
      </c>
      <c r="DG11" s="53">
        <f t="shared" si="72"/>
        <v>2441.0323577267877</v>
      </c>
      <c r="DH11" s="18"/>
      <c r="DI11" s="52">
        <f t="shared" si="73"/>
        <v>5950</v>
      </c>
      <c r="DJ11" s="52">
        <f t="shared" si="74"/>
        <v>-1057322.2586658485</v>
      </c>
      <c r="DK11" s="52">
        <f t="shared" si="75"/>
        <v>-10137313.488661837</v>
      </c>
      <c r="DL11" s="52">
        <f t="shared" si="76"/>
        <v>186.82091699677278</v>
      </c>
      <c r="DM11" s="52">
        <f t="shared" si="77"/>
        <v>158.43425886078165</v>
      </c>
      <c r="DN11" s="52">
        <f t="shared" si="78"/>
        <v>-7813043.48533771</v>
      </c>
      <c r="DO11" s="52">
        <f t="shared" si="79"/>
        <v>184.80657614672262</v>
      </c>
      <c r="DP11" s="53">
        <f t="shared" si="80"/>
        <v>2111.3056078751192</v>
      </c>
      <c r="DT11" s="41" t="str">
        <f t="shared" si="84"/>
        <v>C12</v>
      </c>
      <c r="DU11" s="55">
        <f t="shared" si="85"/>
        <v>8</v>
      </c>
      <c r="DV11" s="56" t="str">
        <f t="shared" si="86"/>
        <v>φ</v>
      </c>
      <c r="DW11" s="57">
        <f t="shared" si="87"/>
        <v>14</v>
      </c>
    </row>
    <row r="12" spans="1:256" ht="15.75" customHeight="1" thickTop="1" thickBot="1" x14ac:dyDescent="0.3">
      <c r="A12" s="42" t="s">
        <v>144</v>
      </c>
      <c r="B12" s="175" t="s">
        <v>18</v>
      </c>
      <c r="C12" s="93">
        <v>41</v>
      </c>
      <c r="D12" s="43">
        <v>200</v>
      </c>
      <c r="E12" s="43">
        <v>500</v>
      </c>
      <c r="F12" s="42">
        <v>1600</v>
      </c>
      <c r="G12" s="94">
        <v>755.15</v>
      </c>
      <c r="H12" s="94">
        <v>16.11</v>
      </c>
      <c r="I12" s="94">
        <v>0</v>
      </c>
      <c r="J12" s="94">
        <v>0.28999999999999998</v>
      </c>
      <c r="K12" s="94">
        <v>0</v>
      </c>
      <c r="L12" s="43">
        <f t="shared" si="0"/>
        <v>9.6</v>
      </c>
      <c r="M12" s="43">
        <f t="shared" si="1"/>
        <v>34</v>
      </c>
      <c r="N12" s="44" t="str">
        <f t="shared" si="2"/>
        <v>sho.col</v>
      </c>
      <c r="O12" s="45"/>
      <c r="P12" s="46">
        <f t="shared" si="3"/>
        <v>16.11</v>
      </c>
      <c r="Q12" s="46">
        <f t="shared" si="4"/>
        <v>0</v>
      </c>
      <c r="R12" s="46">
        <f t="shared" si="5"/>
        <v>0.28999999999999998</v>
      </c>
      <c r="S12" s="46">
        <f t="shared" si="6"/>
        <v>0</v>
      </c>
      <c r="U12" s="291"/>
      <c r="V12" s="299"/>
      <c r="W12" s="15" t="s">
        <v>99</v>
      </c>
      <c r="X12" s="43">
        <v>0</v>
      </c>
      <c r="Y12" s="43"/>
      <c r="Z12" s="295"/>
      <c r="AA12" s="295"/>
      <c r="AB12" s="295"/>
      <c r="AC12" s="295"/>
      <c r="AD12" s="295"/>
      <c r="AE12" s="295"/>
      <c r="AF12" s="70"/>
      <c r="AI12" s="4" t="s">
        <v>157</v>
      </c>
      <c r="AJ12" s="306" t="str">
        <f t="shared" si="7"/>
        <v>C13</v>
      </c>
      <c r="AK12" s="307"/>
      <c r="AL12" s="43">
        <v>200</v>
      </c>
      <c r="AM12" s="43">
        <v>500</v>
      </c>
      <c r="AN12" s="43">
        <f t="shared" si="8"/>
        <v>440</v>
      </c>
      <c r="AO12" s="43">
        <f t="shared" si="9"/>
        <v>755.15</v>
      </c>
      <c r="AP12" s="43">
        <f t="shared" si="10"/>
        <v>16.11</v>
      </c>
      <c r="AQ12" s="43">
        <f t="shared" si="11"/>
        <v>0.28999999999999998</v>
      </c>
      <c r="AR12" s="43">
        <f t="shared" si="12"/>
        <v>16.500384615384615</v>
      </c>
      <c r="AS12" s="43">
        <f t="shared" si="13"/>
        <v>3.7598461538461536</v>
      </c>
      <c r="AT12" s="43">
        <f t="shared" si="14"/>
        <v>16.500384615384615</v>
      </c>
      <c r="AU12" s="43">
        <f t="shared" si="15"/>
        <v>2.185047290655448E-2</v>
      </c>
      <c r="AV12" s="44" t="str">
        <f t="shared" si="16"/>
        <v>Compression</v>
      </c>
      <c r="AW12" s="43">
        <f t="shared" si="17"/>
        <v>1000</v>
      </c>
      <c r="AX12" s="43">
        <f t="shared" si="18"/>
        <v>250</v>
      </c>
      <c r="AY12" s="43">
        <f t="shared" si="19"/>
        <v>0.01</v>
      </c>
      <c r="AZ12" s="47">
        <f t="shared" si="20"/>
        <v>8</v>
      </c>
      <c r="BA12" s="48" t="s">
        <v>65</v>
      </c>
      <c r="BB12" s="49">
        <v>14</v>
      </c>
      <c r="BC12" s="94">
        <v>8.0500000000000007</v>
      </c>
      <c r="BD12" s="43">
        <f t="shared" si="21"/>
        <v>61.734197258173779</v>
      </c>
      <c r="BE12" s="43">
        <f t="shared" si="22"/>
        <v>-51.000863924840452</v>
      </c>
      <c r="BF12" s="43">
        <f t="shared" si="23"/>
        <v>100</v>
      </c>
      <c r="BG12" s="43">
        <f t="shared" si="24"/>
        <v>500</v>
      </c>
      <c r="BH12" s="44" t="str">
        <f t="shared" si="25"/>
        <v>No Need Shear Reinf.</v>
      </c>
      <c r="BI12" s="50" t="str">
        <f t="shared" si="26"/>
        <v>Use Φ10@100mm</v>
      </c>
      <c r="BJ12" s="43">
        <f t="shared" si="27"/>
        <v>200</v>
      </c>
      <c r="BK12" s="43">
        <f t="shared" si="28"/>
        <v>500</v>
      </c>
      <c r="BL12" s="43">
        <f t="shared" si="29"/>
        <v>220</v>
      </c>
      <c r="BM12" s="43">
        <f t="shared" si="30"/>
        <v>70</v>
      </c>
      <c r="BN12" s="43">
        <f t="shared" si="31"/>
        <v>460.90909090909082</v>
      </c>
      <c r="BO12" s="43">
        <f t="shared" si="32"/>
        <v>162.85714285714292</v>
      </c>
      <c r="BP12" s="43">
        <f t="shared" si="33"/>
        <v>1039.8696</v>
      </c>
      <c r="BQ12" s="43">
        <f t="shared" si="34"/>
        <v>746.46960000000001</v>
      </c>
      <c r="BR12" s="43">
        <f t="shared" si="35"/>
        <v>194.37202400000001</v>
      </c>
      <c r="BS12" s="43">
        <f t="shared" si="36"/>
        <v>34.023783999999999</v>
      </c>
      <c r="BT12" s="43">
        <f t="shared" si="37"/>
        <v>0.18691961376695695</v>
      </c>
      <c r="BU12" s="43">
        <f t="shared" si="38"/>
        <v>4.5579597615227729E-2</v>
      </c>
      <c r="BV12" s="43">
        <f t="shared" si="39"/>
        <v>2.1333509898695622E-2</v>
      </c>
      <c r="BW12" s="43">
        <f t="shared" si="40"/>
        <v>3.8402966298086474E-4</v>
      </c>
      <c r="BX12" s="44" t="str">
        <f t="shared" si="41"/>
        <v>Compression Controls</v>
      </c>
      <c r="BY12" s="44" t="str">
        <f t="shared" si="42"/>
        <v>Compression Controls</v>
      </c>
      <c r="BZ12" s="43">
        <f t="shared" si="43"/>
        <v>2390.428155195651</v>
      </c>
      <c r="CA12" s="43">
        <f t="shared" si="44"/>
        <v>2586.0262217940544</v>
      </c>
      <c r="CB12" s="43">
        <f t="shared" si="45"/>
        <v>2868.1183999999998</v>
      </c>
      <c r="CC12" s="43">
        <f t="shared" si="46"/>
        <v>1491.421568</v>
      </c>
      <c r="CD12" s="51" t="str">
        <f t="shared" si="47"/>
        <v xml:space="preserve">Safe </v>
      </c>
      <c r="CE12" s="9"/>
      <c r="CF12" s="4"/>
      <c r="CG12" s="43">
        <f t="shared" si="48"/>
        <v>308</v>
      </c>
      <c r="CH12" s="43">
        <f t="shared" si="49"/>
        <v>440</v>
      </c>
      <c r="CI12" s="43">
        <f t="shared" si="50"/>
        <v>211.33350989869564</v>
      </c>
      <c r="CJ12" s="52">
        <f t="shared" si="51"/>
        <v>11.261820243939882</v>
      </c>
      <c r="CK12" s="52">
        <f t="shared" si="52"/>
        <v>-5150.401814667096</v>
      </c>
      <c r="CL12" s="52">
        <f t="shared" si="53"/>
        <v>87407.474175144234</v>
      </c>
      <c r="CM12" s="52">
        <f t="shared" si="54"/>
        <v>-69115200</v>
      </c>
      <c r="CN12" s="52">
        <f t="shared" si="55"/>
        <v>468.7094676053797</v>
      </c>
      <c r="CO12" s="53">
        <f t="shared" si="56"/>
        <v>2390.428155195651</v>
      </c>
      <c r="CP12" s="18"/>
      <c r="CQ12" s="43">
        <f t="shared" si="57"/>
        <v>140</v>
      </c>
      <c r="CR12" s="43">
        <f t="shared" si="58"/>
        <v>40.384029662980865</v>
      </c>
      <c r="CS12" s="52">
        <f t="shared" si="59"/>
        <v>147.33547022560336</v>
      </c>
      <c r="CT12" s="52">
        <f t="shared" si="60"/>
        <v>-29353.931663168936</v>
      </c>
      <c r="CU12" s="52">
        <f t="shared" si="61"/>
        <v>65091.267261280169</v>
      </c>
      <c r="CV12" s="52">
        <f t="shared" si="62"/>
        <v>-21991200</v>
      </c>
      <c r="CW12" s="52">
        <f t="shared" si="63"/>
        <v>200.73528227130595</v>
      </c>
      <c r="CX12" s="53">
        <f t="shared" si="64"/>
        <v>2586.0262217940544</v>
      </c>
      <c r="CY12" s="18"/>
      <c r="CZ12" s="52">
        <f t="shared" si="65"/>
        <v>2380</v>
      </c>
      <c r="DA12" s="52">
        <f t="shared" si="66"/>
        <v>-1088452.4928822087</v>
      </c>
      <c r="DB12" s="54">
        <f t="shared" si="67"/>
        <v>-47920407.160961397</v>
      </c>
      <c r="DC12" s="54">
        <f t="shared" si="68"/>
        <v>497.78168579414643</v>
      </c>
      <c r="DD12" s="52">
        <f t="shared" si="69"/>
        <v>538.52726833213717</v>
      </c>
      <c r="DE12" s="52">
        <f t="shared" si="70"/>
        <v>-47920407.160961397</v>
      </c>
      <c r="DF12" s="52">
        <f t="shared" si="71"/>
        <v>497.78168579414643</v>
      </c>
      <c r="DG12" s="53">
        <f t="shared" si="72"/>
        <v>2362.1104243801369</v>
      </c>
      <c r="DH12" s="18"/>
      <c r="DI12" s="52">
        <f t="shared" si="73"/>
        <v>5950</v>
      </c>
      <c r="DJ12" s="52">
        <f t="shared" si="74"/>
        <v>-1185430.0470105277</v>
      </c>
      <c r="DK12" s="52">
        <f t="shared" si="75"/>
        <v>-10058399.091041515</v>
      </c>
      <c r="DL12" s="52">
        <f t="shared" si="76"/>
        <v>207.38344589610296</v>
      </c>
      <c r="DM12" s="52">
        <f t="shared" si="77"/>
        <v>188.49642366405669</v>
      </c>
      <c r="DN12" s="52">
        <f t="shared" si="78"/>
        <v>-7233657.5366256339</v>
      </c>
      <c r="DO12" s="52">
        <f t="shared" si="79"/>
        <v>205.15782131872194</v>
      </c>
      <c r="DP12" s="53">
        <f t="shared" si="80"/>
        <v>2362.7445721813206</v>
      </c>
      <c r="DT12" s="41" t="str">
        <f t="shared" si="84"/>
        <v>C13</v>
      </c>
      <c r="DU12" s="55">
        <f t="shared" si="85"/>
        <v>8</v>
      </c>
      <c r="DV12" s="56" t="str">
        <f t="shared" si="86"/>
        <v>φ</v>
      </c>
      <c r="DW12" s="57">
        <f t="shared" si="87"/>
        <v>14</v>
      </c>
    </row>
    <row r="13" spans="1:256" ht="15" customHeight="1" thickTop="1" thickBot="1" x14ac:dyDescent="0.3">
      <c r="A13" s="42" t="s">
        <v>144</v>
      </c>
      <c r="B13" s="175" t="s">
        <v>19</v>
      </c>
      <c r="C13" s="93">
        <v>17</v>
      </c>
      <c r="D13" s="43">
        <v>200</v>
      </c>
      <c r="E13" s="43">
        <v>500</v>
      </c>
      <c r="F13" s="42">
        <v>1600</v>
      </c>
      <c r="G13" s="94">
        <v>489.73</v>
      </c>
      <c r="H13" s="94">
        <v>46.4</v>
      </c>
      <c r="I13" s="94">
        <v>0</v>
      </c>
      <c r="J13" s="94">
        <v>4.09</v>
      </c>
      <c r="K13" s="94">
        <v>0</v>
      </c>
      <c r="L13" s="43">
        <f t="shared" si="0"/>
        <v>9.6</v>
      </c>
      <c r="M13" s="43">
        <f t="shared" si="1"/>
        <v>34</v>
      </c>
      <c r="N13" s="44" t="str">
        <f t="shared" si="2"/>
        <v>sho.col</v>
      </c>
      <c r="O13" s="45"/>
      <c r="P13" s="46">
        <f t="shared" si="3"/>
        <v>46.4</v>
      </c>
      <c r="Q13" s="46">
        <f t="shared" si="4"/>
        <v>0</v>
      </c>
      <c r="R13" s="46">
        <f t="shared" si="5"/>
        <v>4.09</v>
      </c>
      <c r="S13" s="46">
        <f t="shared" si="6"/>
        <v>0</v>
      </c>
      <c r="U13" s="288" t="s">
        <v>8</v>
      </c>
      <c r="V13" s="300" t="s">
        <v>100</v>
      </c>
      <c r="W13" s="15" t="s">
        <v>86</v>
      </c>
      <c r="X13" s="43">
        <v>200</v>
      </c>
      <c r="Y13" s="43">
        <v>0</v>
      </c>
      <c r="Z13" s="292">
        <v>1000</v>
      </c>
      <c r="AA13" s="292">
        <v>1000</v>
      </c>
      <c r="AB13" s="292">
        <v>1350</v>
      </c>
      <c r="AC13" s="292">
        <f>(Z13*AA13^3/12)/AB13</f>
        <v>61728395.061728388</v>
      </c>
      <c r="AD13" s="292">
        <f>(0.7*(AC13+AC15))/(0.35*(X16+Y16))</f>
        <v>183.968835733882</v>
      </c>
      <c r="AE13" s="292">
        <f>MIN(MIN(1,(0.7+0.05*(AD13+AD17))),MIN(1,(0.85+0.05*MIN(AD13,AD17))))</f>
        <v>0.9</v>
      </c>
      <c r="AF13" s="70"/>
      <c r="AI13" s="4" t="s">
        <v>156</v>
      </c>
      <c r="AJ13" s="306" t="str">
        <f t="shared" si="7"/>
        <v>C14</v>
      </c>
      <c r="AK13" s="307"/>
      <c r="AL13" s="43">
        <v>200</v>
      </c>
      <c r="AM13" s="43">
        <v>500</v>
      </c>
      <c r="AN13" s="43">
        <f t="shared" si="8"/>
        <v>440</v>
      </c>
      <c r="AO13" s="43">
        <f t="shared" si="9"/>
        <v>489.73</v>
      </c>
      <c r="AP13" s="43">
        <f t="shared" si="10"/>
        <v>46.4</v>
      </c>
      <c r="AQ13" s="43">
        <f t="shared" si="11"/>
        <v>4.09</v>
      </c>
      <c r="AR13" s="43">
        <f t="shared" si="12"/>
        <v>51.905769230769231</v>
      </c>
      <c r="AS13" s="43">
        <f t="shared" si="13"/>
        <v>14.083846153846153</v>
      </c>
      <c r="AT13" s="43">
        <f t="shared" si="14"/>
        <v>51.905769230769231</v>
      </c>
      <c r="AU13" s="43">
        <f t="shared" si="15"/>
        <v>0.10598854313758445</v>
      </c>
      <c r="AV13" s="44" t="str">
        <f t="shared" si="16"/>
        <v>Compression</v>
      </c>
      <c r="AW13" s="43">
        <f t="shared" si="17"/>
        <v>1000</v>
      </c>
      <c r="AX13" s="43">
        <f t="shared" si="18"/>
        <v>250</v>
      </c>
      <c r="AY13" s="43">
        <f t="shared" si="19"/>
        <v>0.01</v>
      </c>
      <c r="AZ13" s="47">
        <f t="shared" si="20"/>
        <v>8</v>
      </c>
      <c r="BA13" s="48" t="s">
        <v>65</v>
      </c>
      <c r="BB13" s="49">
        <v>14</v>
      </c>
      <c r="BC13" s="94">
        <v>23.2</v>
      </c>
      <c r="BD13" s="43">
        <f t="shared" si="21"/>
        <v>61.734197258173779</v>
      </c>
      <c r="BE13" s="43">
        <f t="shared" si="22"/>
        <v>-30.800863924840453</v>
      </c>
      <c r="BF13" s="43">
        <f t="shared" si="23"/>
        <v>100</v>
      </c>
      <c r="BG13" s="43">
        <f t="shared" si="24"/>
        <v>500</v>
      </c>
      <c r="BH13" s="44">
        <f t="shared" si="25"/>
        <v>100</v>
      </c>
      <c r="BI13" s="50" t="str">
        <f t="shared" si="26"/>
        <v>Use Φ10@100mm</v>
      </c>
      <c r="BJ13" s="43">
        <f t="shared" si="27"/>
        <v>200</v>
      </c>
      <c r="BK13" s="43">
        <f t="shared" si="28"/>
        <v>500</v>
      </c>
      <c r="BL13" s="43">
        <f t="shared" si="29"/>
        <v>220</v>
      </c>
      <c r="BM13" s="43">
        <f t="shared" si="30"/>
        <v>70</v>
      </c>
      <c r="BN13" s="43">
        <f t="shared" si="31"/>
        <v>460.90909090909082</v>
      </c>
      <c r="BO13" s="43">
        <f t="shared" si="32"/>
        <v>162.85714285714292</v>
      </c>
      <c r="BP13" s="43">
        <f t="shared" si="33"/>
        <v>1039.8696</v>
      </c>
      <c r="BQ13" s="43">
        <f t="shared" si="34"/>
        <v>746.46960000000001</v>
      </c>
      <c r="BR13" s="43">
        <f t="shared" si="35"/>
        <v>194.37202400000001</v>
      </c>
      <c r="BS13" s="43">
        <f t="shared" si="36"/>
        <v>34.023783999999999</v>
      </c>
      <c r="BT13" s="43">
        <f t="shared" si="37"/>
        <v>0.18691961376695695</v>
      </c>
      <c r="BU13" s="43">
        <f t="shared" si="38"/>
        <v>4.5579597615227729E-2</v>
      </c>
      <c r="BV13" s="43">
        <f t="shared" si="39"/>
        <v>9.4746084577216005E-2</v>
      </c>
      <c r="BW13" s="43">
        <f t="shared" si="40"/>
        <v>8.3515406448451176E-3</v>
      </c>
      <c r="BX13" s="44" t="str">
        <f t="shared" si="41"/>
        <v>Compression Controls</v>
      </c>
      <c r="BY13" s="44" t="str">
        <f t="shared" si="42"/>
        <v>Compression Controls</v>
      </c>
      <c r="BZ13" s="43">
        <f t="shared" si="43"/>
        <v>1685.8110151113133</v>
      </c>
      <c r="CA13" s="43">
        <f t="shared" si="44"/>
        <v>2376.1992522311034</v>
      </c>
      <c r="CB13" s="43">
        <f t="shared" si="45"/>
        <v>2868.1183999999998</v>
      </c>
      <c r="CC13" s="43">
        <f t="shared" si="46"/>
        <v>976.90625349773518</v>
      </c>
      <c r="CD13" s="51" t="str">
        <f t="shared" si="47"/>
        <v xml:space="preserve">Safe </v>
      </c>
      <c r="CE13" s="9"/>
      <c r="CF13" s="4"/>
      <c r="CG13" s="43">
        <f t="shared" si="48"/>
        <v>308</v>
      </c>
      <c r="CH13" s="43">
        <f t="shared" si="49"/>
        <v>440</v>
      </c>
      <c r="CI13" s="43">
        <f t="shared" si="50"/>
        <v>284.74608457721604</v>
      </c>
      <c r="CJ13" s="52">
        <f t="shared" si="51"/>
        <v>8.3583238854144923</v>
      </c>
      <c r="CK13" s="52">
        <f t="shared" si="52"/>
        <v>-2595.325019164753</v>
      </c>
      <c r="CL13" s="52">
        <f t="shared" si="53"/>
        <v>143978.3774139164</v>
      </c>
      <c r="CM13" s="52">
        <f t="shared" si="54"/>
        <v>-69115200</v>
      </c>
      <c r="CN13" s="52">
        <f t="shared" si="55"/>
        <v>333.27022634711261</v>
      </c>
      <c r="CO13" s="53">
        <f t="shared" si="56"/>
        <v>1685.8110151113133</v>
      </c>
      <c r="CP13" s="18"/>
      <c r="CQ13" s="43">
        <f t="shared" si="57"/>
        <v>140</v>
      </c>
      <c r="CR13" s="43">
        <f t="shared" si="58"/>
        <v>48.351540644845116</v>
      </c>
      <c r="CS13" s="52">
        <f t="shared" si="59"/>
        <v>123.05709230041556</v>
      </c>
      <c r="CT13" s="52">
        <f t="shared" si="60"/>
        <v>-22555.98584411636</v>
      </c>
      <c r="CU13" s="52">
        <f t="shared" si="61"/>
        <v>104925.63024426502</v>
      </c>
      <c r="CV13" s="52">
        <f t="shared" si="62"/>
        <v>-21991200</v>
      </c>
      <c r="CW13" s="52">
        <f t="shared" si="63"/>
        <v>183.94318959575284</v>
      </c>
      <c r="CX13" s="53">
        <f t="shared" si="64"/>
        <v>2376.1992522311034</v>
      </c>
      <c r="CY13" s="18"/>
      <c r="CZ13" s="52">
        <f t="shared" si="65"/>
        <v>2380</v>
      </c>
      <c r="DA13" s="52">
        <f t="shared" si="66"/>
        <v>-739008.63741245167</v>
      </c>
      <c r="DB13" s="54">
        <f t="shared" si="67"/>
        <v>-48458550.698384821</v>
      </c>
      <c r="DC13" s="54">
        <f t="shared" si="68"/>
        <v>366.12001948330294</v>
      </c>
      <c r="DD13" s="52">
        <f t="shared" si="69"/>
        <v>516.42085007210176</v>
      </c>
      <c r="DE13" s="52">
        <f t="shared" si="70"/>
        <v>-48458550.698384821</v>
      </c>
      <c r="DF13" s="52">
        <f t="shared" si="71"/>
        <v>366.12001948330294</v>
      </c>
      <c r="DG13" s="53">
        <f t="shared" si="72"/>
        <v>1735.4008927405221</v>
      </c>
      <c r="DH13" s="18"/>
      <c r="DI13" s="52">
        <f t="shared" si="73"/>
        <v>5950</v>
      </c>
      <c r="DJ13" s="52">
        <f t="shared" si="74"/>
        <v>-1090616.6663263431</v>
      </c>
      <c r="DK13" s="52">
        <f t="shared" si="75"/>
        <v>-10116804.133542972</v>
      </c>
      <c r="DL13" s="52">
        <f t="shared" si="76"/>
        <v>192.14593851704723</v>
      </c>
      <c r="DM13" s="52">
        <f t="shared" si="77"/>
        <v>231.31093249078813</v>
      </c>
      <c r="DN13" s="52">
        <f t="shared" si="78"/>
        <v>-8277514.9021241432</v>
      </c>
      <c r="DO13" s="52">
        <f t="shared" si="79"/>
        <v>190.59601656259883</v>
      </c>
      <c r="DP13" s="53">
        <f t="shared" si="80"/>
        <v>2202.6459643020885</v>
      </c>
      <c r="DT13" s="41" t="str">
        <f t="shared" si="84"/>
        <v>C14</v>
      </c>
      <c r="DU13" s="55">
        <f t="shared" si="85"/>
        <v>8</v>
      </c>
      <c r="DV13" s="56" t="str">
        <f t="shared" si="86"/>
        <v>φ</v>
      </c>
      <c r="DW13" s="57">
        <f t="shared" si="87"/>
        <v>14</v>
      </c>
    </row>
    <row r="14" spans="1:256" ht="15.75" customHeight="1" thickTop="1" thickBot="1" x14ac:dyDescent="0.3">
      <c r="A14" s="42" t="s">
        <v>144</v>
      </c>
      <c r="B14" s="175" t="s">
        <v>20</v>
      </c>
      <c r="C14" s="93">
        <v>29</v>
      </c>
      <c r="D14" s="43">
        <v>200</v>
      </c>
      <c r="E14" s="43">
        <v>500</v>
      </c>
      <c r="F14" s="42">
        <v>1600</v>
      </c>
      <c r="G14" s="94">
        <v>434.54</v>
      </c>
      <c r="H14" s="94">
        <v>38.92</v>
      </c>
      <c r="I14" s="94">
        <v>0</v>
      </c>
      <c r="J14" s="94">
        <v>1.39</v>
      </c>
      <c r="K14" s="94">
        <v>0</v>
      </c>
      <c r="L14" s="43">
        <f t="shared" si="0"/>
        <v>9.6</v>
      </c>
      <c r="M14" s="43">
        <f t="shared" si="1"/>
        <v>34</v>
      </c>
      <c r="N14" s="44" t="str">
        <f t="shared" si="2"/>
        <v>sho.col</v>
      </c>
      <c r="O14" s="45"/>
      <c r="P14" s="46">
        <f t="shared" si="3"/>
        <v>38.92</v>
      </c>
      <c r="Q14" s="46">
        <f t="shared" si="4"/>
        <v>0</v>
      </c>
      <c r="R14" s="46">
        <f t="shared" si="5"/>
        <v>1.39</v>
      </c>
      <c r="S14" s="46">
        <f t="shared" si="6"/>
        <v>0</v>
      </c>
      <c r="U14" s="289"/>
      <c r="V14" s="298"/>
      <c r="W14" s="15" t="s">
        <v>97</v>
      </c>
      <c r="X14" s="43">
        <v>600</v>
      </c>
      <c r="Y14" s="43">
        <v>0</v>
      </c>
      <c r="Z14" s="295"/>
      <c r="AA14" s="295"/>
      <c r="AB14" s="295"/>
      <c r="AC14" s="295"/>
      <c r="AD14" s="293"/>
      <c r="AE14" s="293"/>
      <c r="AF14" s="70"/>
      <c r="AI14" s="4" t="s">
        <v>166</v>
      </c>
      <c r="AJ14" s="306" t="str">
        <f t="shared" si="7"/>
        <v>C15</v>
      </c>
      <c r="AK14" s="307"/>
      <c r="AL14" s="43">
        <v>200</v>
      </c>
      <c r="AM14" s="43">
        <v>500</v>
      </c>
      <c r="AN14" s="43">
        <f t="shared" si="8"/>
        <v>440</v>
      </c>
      <c r="AO14" s="43">
        <f t="shared" si="9"/>
        <v>434.54</v>
      </c>
      <c r="AP14" s="43">
        <f t="shared" si="10"/>
        <v>38.92</v>
      </c>
      <c r="AQ14" s="43">
        <f t="shared" si="11"/>
        <v>1.39</v>
      </c>
      <c r="AR14" s="43">
        <f t="shared" si="12"/>
        <v>40.791153846153847</v>
      </c>
      <c r="AS14" s="43">
        <f t="shared" si="13"/>
        <v>9.7727692307692315</v>
      </c>
      <c r="AT14" s="43">
        <f t="shared" si="14"/>
        <v>40.791153846153847</v>
      </c>
      <c r="AU14" s="43">
        <f t="shared" si="15"/>
        <v>9.3872034441372126E-2</v>
      </c>
      <c r="AV14" s="44" t="str">
        <f t="shared" si="16"/>
        <v>Compression</v>
      </c>
      <c r="AW14" s="43">
        <f t="shared" si="17"/>
        <v>1000</v>
      </c>
      <c r="AX14" s="43">
        <f t="shared" si="18"/>
        <v>250</v>
      </c>
      <c r="AY14" s="43">
        <f t="shared" si="19"/>
        <v>0.01</v>
      </c>
      <c r="AZ14" s="47">
        <f t="shared" si="20"/>
        <v>8</v>
      </c>
      <c r="BA14" s="48" t="s">
        <v>65</v>
      </c>
      <c r="BB14" s="49">
        <v>14</v>
      </c>
      <c r="BC14" s="94">
        <v>19.46</v>
      </c>
      <c r="BD14" s="43">
        <f t="shared" si="21"/>
        <v>61.734197258173779</v>
      </c>
      <c r="BE14" s="43">
        <f t="shared" si="22"/>
        <v>-35.787530591507114</v>
      </c>
      <c r="BF14" s="43">
        <f t="shared" si="23"/>
        <v>100</v>
      </c>
      <c r="BG14" s="43">
        <f t="shared" si="24"/>
        <v>500</v>
      </c>
      <c r="BH14" s="44" t="str">
        <f t="shared" si="25"/>
        <v>No Need Shear Reinf.</v>
      </c>
      <c r="BI14" s="50" t="str">
        <f t="shared" si="26"/>
        <v>Use Φ10@100mm</v>
      </c>
      <c r="BJ14" s="43">
        <f t="shared" si="27"/>
        <v>200</v>
      </c>
      <c r="BK14" s="43">
        <f t="shared" si="28"/>
        <v>500</v>
      </c>
      <c r="BL14" s="43">
        <f t="shared" si="29"/>
        <v>220</v>
      </c>
      <c r="BM14" s="43">
        <f t="shared" si="30"/>
        <v>70</v>
      </c>
      <c r="BN14" s="43">
        <f t="shared" si="31"/>
        <v>460.90909090909082</v>
      </c>
      <c r="BO14" s="43">
        <f t="shared" si="32"/>
        <v>162.85714285714292</v>
      </c>
      <c r="BP14" s="43">
        <f t="shared" si="33"/>
        <v>1039.8696</v>
      </c>
      <c r="BQ14" s="43">
        <f t="shared" si="34"/>
        <v>746.46960000000001</v>
      </c>
      <c r="BR14" s="43">
        <f t="shared" si="35"/>
        <v>194.37202400000001</v>
      </c>
      <c r="BS14" s="43">
        <f t="shared" si="36"/>
        <v>34.023783999999999</v>
      </c>
      <c r="BT14" s="43">
        <f t="shared" si="37"/>
        <v>0.18691961376695695</v>
      </c>
      <c r="BU14" s="43">
        <f t="shared" si="38"/>
        <v>4.5579597615227729E-2</v>
      </c>
      <c r="BV14" s="43">
        <f t="shared" si="39"/>
        <v>8.9565977815621117E-2</v>
      </c>
      <c r="BW14" s="43">
        <f t="shared" si="40"/>
        <v>3.1987849219864682E-3</v>
      </c>
      <c r="BX14" s="44" t="str">
        <f t="shared" si="41"/>
        <v>Compression Controls</v>
      </c>
      <c r="BY14" s="44" t="str">
        <f t="shared" si="42"/>
        <v>Compression Controls</v>
      </c>
      <c r="BZ14" s="43">
        <f t="shared" si="43"/>
        <v>1732.0833384035589</v>
      </c>
      <c r="CA14" s="43">
        <f t="shared" si="44"/>
        <v>2512.0208002764994</v>
      </c>
      <c r="CB14" s="43">
        <f t="shared" si="45"/>
        <v>2868.1183999999998</v>
      </c>
      <c r="CC14" s="43">
        <f t="shared" si="46"/>
        <v>1037.071872546959</v>
      </c>
      <c r="CD14" s="51" t="str">
        <f t="shared" si="47"/>
        <v xml:space="preserve">Safe </v>
      </c>
      <c r="CE14" s="9"/>
      <c r="CF14" s="4"/>
      <c r="CG14" s="43">
        <f t="shared" si="48"/>
        <v>308</v>
      </c>
      <c r="CH14" s="43">
        <f t="shared" si="49"/>
        <v>440</v>
      </c>
      <c r="CI14" s="43">
        <f t="shared" si="50"/>
        <v>279.56597781562112</v>
      </c>
      <c r="CJ14" s="52">
        <f t="shared" si="51"/>
        <v>8.5131961284990609</v>
      </c>
      <c r="CK14" s="52">
        <f t="shared" si="52"/>
        <v>-2731.6125930791732</v>
      </c>
      <c r="CL14" s="52">
        <f t="shared" si="53"/>
        <v>140960.89035828999</v>
      </c>
      <c r="CM14" s="52">
        <f t="shared" si="54"/>
        <v>-69115200</v>
      </c>
      <c r="CN14" s="52">
        <f t="shared" si="55"/>
        <v>341.89253910736431</v>
      </c>
      <c r="CO14" s="53">
        <f t="shared" si="56"/>
        <v>1732.0833384035589</v>
      </c>
      <c r="CP14" s="18"/>
      <c r="CQ14" s="43">
        <f t="shared" si="57"/>
        <v>140</v>
      </c>
      <c r="CR14" s="43">
        <f t="shared" si="58"/>
        <v>43.198784921986473</v>
      </c>
      <c r="CS14" s="52">
        <f t="shared" si="59"/>
        <v>137.73535553708794</v>
      </c>
      <c r="CT14" s="52">
        <f t="shared" si="60"/>
        <v>-26665.89955038462</v>
      </c>
      <c r="CU14" s="52">
        <f t="shared" si="61"/>
        <v>80842.502964052124</v>
      </c>
      <c r="CV14" s="52">
        <f t="shared" si="62"/>
        <v>-21991200</v>
      </c>
      <c r="CW14" s="52">
        <f t="shared" si="63"/>
        <v>194.79698471938013</v>
      </c>
      <c r="CX14" s="53">
        <f t="shared" si="64"/>
        <v>2512.0208002764994</v>
      </c>
      <c r="CY14" s="18"/>
      <c r="CZ14" s="52">
        <f t="shared" si="65"/>
        <v>2380</v>
      </c>
      <c r="DA14" s="52">
        <f t="shared" si="66"/>
        <v>-763665.9455976435</v>
      </c>
      <c r="DB14" s="54">
        <f t="shared" si="67"/>
        <v>-48420578.443779632</v>
      </c>
      <c r="DC14" s="54">
        <f t="shared" si="68"/>
        <v>375.10553015175844</v>
      </c>
      <c r="DD14" s="52">
        <f t="shared" si="69"/>
        <v>518.42295690063543</v>
      </c>
      <c r="DE14" s="52">
        <f t="shared" si="70"/>
        <v>-48420578.443779632</v>
      </c>
      <c r="DF14" s="52">
        <f t="shared" si="71"/>
        <v>375.10553015175844</v>
      </c>
      <c r="DG14" s="53">
        <f t="shared" si="72"/>
        <v>1778.1719235223704</v>
      </c>
      <c r="DH14" s="18"/>
      <c r="DI14" s="52">
        <f t="shared" si="73"/>
        <v>5950</v>
      </c>
      <c r="DJ14" s="52">
        <f t="shared" si="74"/>
        <v>-1151934.4594283609</v>
      </c>
      <c r="DK14" s="52">
        <f t="shared" si="75"/>
        <v>-10079032.37299213</v>
      </c>
      <c r="DL14" s="52">
        <f t="shared" si="76"/>
        <v>201.98881064541288</v>
      </c>
      <c r="DM14" s="52">
        <f t="shared" si="77"/>
        <v>241.51413163809107</v>
      </c>
      <c r="DN14" s="52">
        <f t="shared" si="78"/>
        <v>-8055935.3493605629</v>
      </c>
      <c r="DO14" s="52">
        <f t="shared" si="79"/>
        <v>200.35996147230932</v>
      </c>
      <c r="DP14" s="53">
        <f t="shared" si="80"/>
        <v>2321.9794940650131</v>
      </c>
      <c r="DT14" s="41" t="str">
        <f t="shared" si="84"/>
        <v>C15</v>
      </c>
      <c r="DU14" s="55">
        <f t="shared" si="85"/>
        <v>8</v>
      </c>
      <c r="DV14" s="56" t="str">
        <f t="shared" si="86"/>
        <v>φ</v>
      </c>
      <c r="DW14" s="57">
        <f t="shared" si="87"/>
        <v>14</v>
      </c>
    </row>
    <row r="15" spans="1:256" ht="15" customHeight="1" thickTop="1" thickBot="1" x14ac:dyDescent="0.3">
      <c r="A15" s="42" t="s">
        <v>144</v>
      </c>
      <c r="B15" s="175" t="s">
        <v>21</v>
      </c>
      <c r="C15" s="93">
        <v>32</v>
      </c>
      <c r="D15" s="43">
        <v>200</v>
      </c>
      <c r="E15" s="43">
        <v>500</v>
      </c>
      <c r="F15" s="42">
        <v>1600</v>
      </c>
      <c r="G15" s="94">
        <v>781.43</v>
      </c>
      <c r="H15" s="94">
        <v>0.22</v>
      </c>
      <c r="I15" s="94">
        <v>0</v>
      </c>
      <c r="J15" s="94">
        <v>-4.59</v>
      </c>
      <c r="K15" s="94">
        <v>0</v>
      </c>
      <c r="L15" s="43">
        <f t="shared" si="0"/>
        <v>9.6</v>
      </c>
      <c r="M15" s="43">
        <f t="shared" si="1"/>
        <v>34</v>
      </c>
      <c r="N15" s="44" t="str">
        <f t="shared" si="2"/>
        <v>sho.col</v>
      </c>
      <c r="O15" s="45"/>
      <c r="P15" s="46">
        <f t="shared" si="3"/>
        <v>0.22</v>
      </c>
      <c r="Q15" s="46">
        <f t="shared" si="4"/>
        <v>0</v>
      </c>
      <c r="R15" s="46">
        <f t="shared" si="5"/>
        <v>4.59</v>
      </c>
      <c r="S15" s="46">
        <f t="shared" si="6"/>
        <v>0</v>
      </c>
      <c r="U15" s="289"/>
      <c r="V15" s="298"/>
      <c r="W15" s="15" t="s">
        <v>98</v>
      </c>
      <c r="X15" s="43">
        <v>5200</v>
      </c>
      <c r="Y15" s="43">
        <v>0</v>
      </c>
      <c r="Z15" s="292">
        <f>D6</f>
        <v>300</v>
      </c>
      <c r="AA15" s="292">
        <f>E6</f>
        <v>500</v>
      </c>
      <c r="AB15" s="292">
        <f>F6</f>
        <v>1600</v>
      </c>
      <c r="AC15" s="292">
        <f>(Z15*AA15^3/12)/AB15</f>
        <v>1953125</v>
      </c>
      <c r="AD15" s="293"/>
      <c r="AE15" s="293"/>
      <c r="AF15" s="70"/>
      <c r="AI15" s="4" t="s">
        <v>167</v>
      </c>
      <c r="AJ15" s="306" t="str">
        <f t="shared" si="7"/>
        <v>C16</v>
      </c>
      <c r="AK15" s="307"/>
      <c r="AL15" s="43">
        <v>200</v>
      </c>
      <c r="AM15" s="43">
        <v>500</v>
      </c>
      <c r="AN15" s="43">
        <f t="shared" si="8"/>
        <v>440</v>
      </c>
      <c r="AO15" s="43">
        <f t="shared" si="9"/>
        <v>781.43</v>
      </c>
      <c r="AP15" s="43">
        <f t="shared" si="10"/>
        <v>0.22</v>
      </c>
      <c r="AQ15" s="43">
        <f t="shared" si="11"/>
        <v>4.59</v>
      </c>
      <c r="AR15" s="43">
        <f t="shared" si="12"/>
        <v>6.3988461538461534</v>
      </c>
      <c r="AS15" s="43">
        <f t="shared" si="13"/>
        <v>4.6373846153846152</v>
      </c>
      <c r="AT15" s="43">
        <f t="shared" si="14"/>
        <v>6.3988461538461534</v>
      </c>
      <c r="AU15" s="43">
        <f t="shared" si="15"/>
        <v>8.1886364150930389E-3</v>
      </c>
      <c r="AV15" s="44" t="str">
        <f t="shared" si="16"/>
        <v>Compression</v>
      </c>
      <c r="AW15" s="43">
        <f t="shared" si="17"/>
        <v>1000</v>
      </c>
      <c r="AX15" s="43">
        <f t="shared" si="18"/>
        <v>250</v>
      </c>
      <c r="AY15" s="43">
        <f t="shared" si="19"/>
        <v>0.01</v>
      </c>
      <c r="AZ15" s="47">
        <f t="shared" si="20"/>
        <v>8</v>
      </c>
      <c r="BA15" s="48" t="s">
        <v>65</v>
      </c>
      <c r="BB15" s="49">
        <v>14</v>
      </c>
      <c r="BC15" s="94">
        <v>2.29</v>
      </c>
      <c r="BD15" s="43">
        <f t="shared" si="21"/>
        <v>61.734197258173779</v>
      </c>
      <c r="BE15" s="43">
        <f t="shared" si="22"/>
        <v>-58.680863924840452</v>
      </c>
      <c r="BF15" s="43">
        <f t="shared" si="23"/>
        <v>100</v>
      </c>
      <c r="BG15" s="43">
        <f t="shared" si="24"/>
        <v>500</v>
      </c>
      <c r="BH15" s="44" t="str">
        <f t="shared" si="25"/>
        <v>No Need Shear Reinf.</v>
      </c>
      <c r="BI15" s="50" t="str">
        <f t="shared" si="26"/>
        <v>Use Φ10@100mm</v>
      </c>
      <c r="BJ15" s="43">
        <f t="shared" si="27"/>
        <v>200</v>
      </c>
      <c r="BK15" s="43">
        <f t="shared" si="28"/>
        <v>500</v>
      </c>
      <c r="BL15" s="43">
        <f t="shared" si="29"/>
        <v>220</v>
      </c>
      <c r="BM15" s="43">
        <f t="shared" si="30"/>
        <v>70</v>
      </c>
      <c r="BN15" s="43">
        <f t="shared" si="31"/>
        <v>460.90909090909082</v>
      </c>
      <c r="BO15" s="43">
        <f t="shared" si="32"/>
        <v>162.85714285714292</v>
      </c>
      <c r="BP15" s="43">
        <f t="shared" si="33"/>
        <v>1039.8696</v>
      </c>
      <c r="BQ15" s="43">
        <f t="shared" si="34"/>
        <v>746.46960000000001</v>
      </c>
      <c r="BR15" s="43">
        <f t="shared" si="35"/>
        <v>194.37202400000001</v>
      </c>
      <c r="BS15" s="43">
        <f t="shared" si="36"/>
        <v>34.023783999999999</v>
      </c>
      <c r="BT15" s="43">
        <f t="shared" si="37"/>
        <v>0.18691961376695695</v>
      </c>
      <c r="BU15" s="43">
        <f t="shared" si="38"/>
        <v>4.5579597615227729E-2</v>
      </c>
      <c r="BV15" s="43">
        <f t="shared" si="39"/>
        <v>2.8153513430505614E-4</v>
      </c>
      <c r="BW15" s="43">
        <f t="shared" si="40"/>
        <v>5.8738466657282168E-3</v>
      </c>
      <c r="BX15" s="44" t="str">
        <f t="shared" si="41"/>
        <v>Compression Controls</v>
      </c>
      <c r="BY15" s="44" t="str">
        <f t="shared" si="42"/>
        <v>Compression Controls</v>
      </c>
      <c r="BZ15" s="43">
        <f t="shared" si="43"/>
        <v>2602.6176967564584</v>
      </c>
      <c r="CA15" s="43">
        <f t="shared" si="44"/>
        <v>2441.5598940586583</v>
      </c>
      <c r="CB15" s="43">
        <f t="shared" si="45"/>
        <v>2868.1183999999998</v>
      </c>
      <c r="CC15" s="43">
        <f t="shared" si="46"/>
        <v>1491.421568</v>
      </c>
      <c r="CD15" s="51" t="str">
        <f t="shared" si="47"/>
        <v xml:space="preserve">Safe </v>
      </c>
      <c r="CE15" s="9"/>
      <c r="CF15" s="4"/>
      <c r="CG15" s="43">
        <f t="shared" si="48"/>
        <v>308</v>
      </c>
      <c r="CH15" s="43">
        <f t="shared" si="49"/>
        <v>440</v>
      </c>
      <c r="CI15" s="43">
        <f t="shared" si="50"/>
        <v>190.28153513430505</v>
      </c>
      <c r="CJ15" s="52">
        <f t="shared" si="51"/>
        <v>12.507782209766921</v>
      </c>
      <c r="CK15" s="52">
        <f t="shared" si="52"/>
        <v>-6246.8483445948896</v>
      </c>
      <c r="CL15" s="52">
        <f t="shared" si="53"/>
        <v>63131.503033995847</v>
      </c>
      <c r="CM15" s="52">
        <f t="shared" si="54"/>
        <v>-69115200</v>
      </c>
      <c r="CN15" s="52">
        <f t="shared" si="55"/>
        <v>510.73787954341788</v>
      </c>
      <c r="CO15" s="53">
        <f t="shared" si="56"/>
        <v>2602.6176967564584</v>
      </c>
      <c r="CP15" s="18"/>
      <c r="CQ15" s="43">
        <f t="shared" si="57"/>
        <v>140</v>
      </c>
      <c r="CR15" s="43">
        <f t="shared" si="58"/>
        <v>45.873846665728223</v>
      </c>
      <c r="CS15" s="52">
        <f t="shared" si="59"/>
        <v>129.70353333035771</v>
      </c>
      <c r="CT15" s="52">
        <f t="shared" si="60"/>
        <v>-24416.989332500161</v>
      </c>
      <c r="CU15" s="52">
        <f t="shared" si="61"/>
        <v>94020.587685509643</v>
      </c>
      <c r="CV15" s="52">
        <f t="shared" si="62"/>
        <v>-21991200</v>
      </c>
      <c r="CW15" s="52">
        <f t="shared" si="63"/>
        <v>189.15867601645712</v>
      </c>
      <c r="CX15" s="53">
        <f t="shared" si="64"/>
        <v>2441.5598940586583</v>
      </c>
      <c r="CY15" s="18"/>
      <c r="CZ15" s="52">
        <f t="shared" si="65"/>
        <v>2380</v>
      </c>
      <c r="DA15" s="52">
        <f t="shared" si="66"/>
        <v>-1188659.892760708</v>
      </c>
      <c r="DB15" s="54">
        <f t="shared" si="67"/>
        <v>-47766087.765148506</v>
      </c>
      <c r="DC15" s="54">
        <f t="shared" si="68"/>
        <v>536.82314345897703</v>
      </c>
      <c r="DD15" s="52">
        <f t="shared" si="69"/>
        <v>542.9979866314419</v>
      </c>
      <c r="DE15" s="52">
        <f t="shared" si="70"/>
        <v>-47766087.765148506</v>
      </c>
      <c r="DF15" s="52">
        <f t="shared" si="71"/>
        <v>536.82314345897703</v>
      </c>
      <c r="DG15" s="53">
        <f t="shared" si="72"/>
        <v>2547.947762864731</v>
      </c>
      <c r="DH15" s="18"/>
      <c r="DI15" s="52">
        <f t="shared" si="73"/>
        <v>5950</v>
      </c>
      <c r="DJ15" s="52">
        <f t="shared" si="74"/>
        <v>-1120101.2246778342</v>
      </c>
      <c r="DK15" s="52">
        <f t="shared" si="75"/>
        <v>-10098641.645598454</v>
      </c>
      <c r="DL15" s="52">
        <f t="shared" si="76"/>
        <v>196.87333547687885</v>
      </c>
      <c r="DM15" s="52">
        <f t="shared" si="77"/>
        <v>163.04066311704335</v>
      </c>
      <c r="DN15" s="52">
        <f t="shared" si="78"/>
        <v>-7397779.2564071566</v>
      </c>
      <c r="DO15" s="52">
        <f t="shared" si="79"/>
        <v>194.64011747001342</v>
      </c>
      <c r="DP15" s="53">
        <f t="shared" si="80"/>
        <v>2229.7435221332089</v>
      </c>
      <c r="DT15" s="41" t="str">
        <f t="shared" si="84"/>
        <v>C16</v>
      </c>
      <c r="DU15" s="55">
        <f t="shared" si="85"/>
        <v>8</v>
      </c>
      <c r="DV15" s="56" t="str">
        <f t="shared" si="86"/>
        <v>φ</v>
      </c>
      <c r="DW15" s="57">
        <f t="shared" si="87"/>
        <v>14</v>
      </c>
    </row>
    <row r="16" spans="1:256" ht="15.75" customHeight="1" thickTop="1" thickBot="1" x14ac:dyDescent="0.3">
      <c r="A16" s="42" t="s">
        <v>144</v>
      </c>
      <c r="B16" s="175" t="s">
        <v>22</v>
      </c>
      <c r="C16" s="93">
        <v>9</v>
      </c>
      <c r="D16" s="43">
        <v>300</v>
      </c>
      <c r="E16" s="43">
        <v>500</v>
      </c>
      <c r="F16" s="42">
        <v>1600</v>
      </c>
      <c r="G16" s="94">
        <v>686.94</v>
      </c>
      <c r="H16" s="94">
        <v>-2.58</v>
      </c>
      <c r="I16" s="94">
        <v>0</v>
      </c>
      <c r="J16" s="94">
        <v>2.62</v>
      </c>
      <c r="K16" s="94">
        <v>0</v>
      </c>
      <c r="L16" s="43">
        <f t="shared" si="0"/>
        <v>9.6</v>
      </c>
      <c r="M16" s="43">
        <f t="shared" si="1"/>
        <v>34</v>
      </c>
      <c r="N16" s="44" t="str">
        <f t="shared" si="2"/>
        <v>sho.col</v>
      </c>
      <c r="O16" s="45"/>
      <c r="P16" s="46">
        <f t="shared" si="3"/>
        <v>2.58</v>
      </c>
      <c r="Q16" s="46">
        <f t="shared" si="4"/>
        <v>0</v>
      </c>
      <c r="R16" s="46">
        <f t="shared" si="5"/>
        <v>2.62</v>
      </c>
      <c r="S16" s="46">
        <f t="shared" si="6"/>
        <v>0</v>
      </c>
      <c r="U16" s="289"/>
      <c r="V16" s="299"/>
      <c r="W16" s="15" t="s">
        <v>99</v>
      </c>
      <c r="X16" s="43">
        <f>(X13*X14^3/12)/X15</f>
        <v>692307.69230769225</v>
      </c>
      <c r="Y16" s="43">
        <v>0</v>
      </c>
      <c r="Z16" s="293"/>
      <c r="AA16" s="293"/>
      <c r="AB16" s="293"/>
      <c r="AC16" s="295"/>
      <c r="AD16" s="295"/>
      <c r="AE16" s="293"/>
      <c r="AF16" s="70"/>
      <c r="AI16" s="4" t="s">
        <v>153</v>
      </c>
      <c r="AJ16" s="306" t="str">
        <f t="shared" si="7"/>
        <v>C17</v>
      </c>
      <c r="AK16" s="307"/>
      <c r="AL16" s="43">
        <v>300</v>
      </c>
      <c r="AM16" s="43">
        <v>500</v>
      </c>
      <c r="AN16" s="43">
        <f t="shared" si="8"/>
        <v>440</v>
      </c>
      <c r="AO16" s="43">
        <f t="shared" si="9"/>
        <v>686.94</v>
      </c>
      <c r="AP16" s="43">
        <f t="shared" si="10"/>
        <v>2.58</v>
      </c>
      <c r="AQ16" s="43">
        <f t="shared" si="11"/>
        <v>2.62</v>
      </c>
      <c r="AR16" s="43">
        <f t="shared" si="12"/>
        <v>4.931282051282051</v>
      </c>
      <c r="AS16" s="43">
        <f t="shared" si="13"/>
        <v>3.4535384615384617</v>
      </c>
      <c r="AT16" s="43">
        <f t="shared" si="14"/>
        <v>4.931282051282051</v>
      </c>
      <c r="AU16" s="43">
        <f t="shared" si="15"/>
        <v>7.1786212060471815E-3</v>
      </c>
      <c r="AV16" s="44" t="str">
        <f t="shared" si="16"/>
        <v>Compression</v>
      </c>
      <c r="AW16" s="43">
        <f t="shared" si="17"/>
        <v>1500</v>
      </c>
      <c r="AX16" s="43">
        <f t="shared" si="18"/>
        <v>375</v>
      </c>
      <c r="AY16" s="43">
        <f t="shared" si="19"/>
        <v>0.01</v>
      </c>
      <c r="AZ16" s="47">
        <f t="shared" si="20"/>
        <v>10</v>
      </c>
      <c r="BA16" s="48" t="s">
        <v>65</v>
      </c>
      <c r="BB16" s="49">
        <v>14</v>
      </c>
      <c r="BC16" s="94">
        <v>1.31</v>
      </c>
      <c r="BD16" s="43">
        <f t="shared" si="21"/>
        <v>105.83005244258362</v>
      </c>
      <c r="BE16" s="43">
        <f t="shared" si="22"/>
        <v>-104.08338577591695</v>
      </c>
      <c r="BF16" s="43">
        <f t="shared" si="23"/>
        <v>110</v>
      </c>
      <c r="BG16" s="43">
        <f t="shared" si="24"/>
        <v>500</v>
      </c>
      <c r="BH16" s="44" t="str">
        <f t="shared" si="25"/>
        <v>No Need Shear Reinf.</v>
      </c>
      <c r="BI16" s="50" t="str">
        <f t="shared" si="26"/>
        <v>Use Φ10@110mm</v>
      </c>
      <c r="BJ16" s="43">
        <f t="shared" si="27"/>
        <v>300</v>
      </c>
      <c r="BK16" s="43">
        <f t="shared" si="28"/>
        <v>500</v>
      </c>
      <c r="BL16" s="43">
        <f t="shared" si="29"/>
        <v>220</v>
      </c>
      <c r="BM16" s="43">
        <f t="shared" si="30"/>
        <v>120</v>
      </c>
      <c r="BN16" s="43">
        <f t="shared" si="31"/>
        <v>460.90909090909082</v>
      </c>
      <c r="BO16" s="43">
        <f t="shared" si="32"/>
        <v>345.00000000000006</v>
      </c>
      <c r="BP16" s="43">
        <f t="shared" si="33"/>
        <v>1561.6369999999999</v>
      </c>
      <c r="BQ16" s="43">
        <f t="shared" si="34"/>
        <v>1389.962</v>
      </c>
      <c r="BR16" s="43">
        <f t="shared" si="35"/>
        <v>279.61703</v>
      </c>
      <c r="BS16" s="43">
        <f t="shared" si="36"/>
        <v>167.93657999999999</v>
      </c>
      <c r="BT16" s="43">
        <f t="shared" si="37"/>
        <v>0.17905379419160791</v>
      </c>
      <c r="BU16" s="43">
        <f t="shared" si="38"/>
        <v>0.12082098647301148</v>
      </c>
      <c r="BV16" s="43">
        <f t="shared" si="39"/>
        <v>3.7557865315748099E-3</v>
      </c>
      <c r="BW16" s="43">
        <f t="shared" si="40"/>
        <v>3.8140157801263572E-3</v>
      </c>
      <c r="BX16" s="44" t="str">
        <f t="shared" si="41"/>
        <v>Compression Controls</v>
      </c>
      <c r="BY16" s="44" t="str">
        <f t="shared" si="42"/>
        <v>Compression Controls</v>
      </c>
      <c r="BZ16" s="43">
        <f t="shared" si="43"/>
        <v>3795.5227386329348</v>
      </c>
      <c r="CA16" s="43">
        <f t="shared" si="44"/>
        <v>3746.8785970879858</v>
      </c>
      <c r="CB16" s="43">
        <f t="shared" si="45"/>
        <v>4180.1480000000001</v>
      </c>
      <c r="CC16" s="43">
        <f t="shared" si="46"/>
        <v>2173.6769600000002</v>
      </c>
      <c r="CD16" s="51" t="str">
        <f t="shared" si="47"/>
        <v xml:space="preserve">Safe </v>
      </c>
      <c r="CE16" s="9"/>
      <c r="CF16" s="4"/>
      <c r="CG16" s="43">
        <f t="shared" si="48"/>
        <v>385</v>
      </c>
      <c r="CH16" s="43">
        <f t="shared" si="49"/>
        <v>440</v>
      </c>
      <c r="CI16" s="43">
        <f t="shared" si="50"/>
        <v>193.75578653157481</v>
      </c>
      <c r="CJ16" s="52">
        <f t="shared" si="51"/>
        <v>18.425256163475797</v>
      </c>
      <c r="CK16" s="52">
        <f t="shared" si="52"/>
        <v>-9074.2254238587047</v>
      </c>
      <c r="CL16" s="52">
        <f t="shared" si="53"/>
        <v>84376.592780089355</v>
      </c>
      <c r="CM16" s="52">
        <f t="shared" si="54"/>
        <v>-86394000</v>
      </c>
      <c r="CN16" s="52">
        <f t="shared" si="55"/>
        <v>501.97398586282134</v>
      </c>
      <c r="CO16" s="53">
        <f t="shared" si="56"/>
        <v>3795.5227386329348</v>
      </c>
      <c r="CP16" s="18"/>
      <c r="CQ16" s="43">
        <f t="shared" si="57"/>
        <v>240</v>
      </c>
      <c r="CR16" s="43">
        <f t="shared" si="58"/>
        <v>93.814015780126368</v>
      </c>
      <c r="CS16" s="52">
        <f t="shared" si="59"/>
        <v>63.42335897809901</v>
      </c>
      <c r="CT16" s="52">
        <f t="shared" si="60"/>
        <v>-18543.212309487528</v>
      </c>
      <c r="CU16" s="52">
        <f t="shared" si="61"/>
        <v>90865.806131157646</v>
      </c>
      <c r="CV16" s="52">
        <f t="shared" si="62"/>
        <v>-47124000</v>
      </c>
      <c r="CW16" s="52">
        <f t="shared" si="63"/>
        <v>296.01160168923263</v>
      </c>
      <c r="CX16" s="53">
        <f t="shared" si="64"/>
        <v>3746.8785970879858</v>
      </c>
      <c r="CY16" s="18"/>
      <c r="CZ16" s="52">
        <f t="shared" si="65"/>
        <v>3570</v>
      </c>
      <c r="DA16" s="52">
        <f t="shared" si="66"/>
        <v>-1758183.6841645557</v>
      </c>
      <c r="DB16" s="54">
        <f t="shared" si="67"/>
        <v>-59739444.271988824</v>
      </c>
      <c r="DC16" s="54">
        <f t="shared" si="68"/>
        <v>524.39875784618062</v>
      </c>
      <c r="DD16" s="52">
        <f t="shared" si="69"/>
        <v>541.64745903350172</v>
      </c>
      <c r="DE16" s="52">
        <f t="shared" si="70"/>
        <v>-59739444.271988824</v>
      </c>
      <c r="DF16" s="52">
        <f t="shared" si="71"/>
        <v>524.39875784618062</v>
      </c>
      <c r="DG16" s="53">
        <f t="shared" si="72"/>
        <v>3735.0441310217302</v>
      </c>
      <c r="DH16" s="18"/>
      <c r="DI16" s="52">
        <f t="shared" si="73"/>
        <v>5950</v>
      </c>
      <c r="DJ16" s="52">
        <f t="shared" si="74"/>
        <v>-1739613.2122164962</v>
      </c>
      <c r="DK16" s="52">
        <f t="shared" si="75"/>
        <v>-28316277.826593298</v>
      </c>
      <c r="DL16" s="52">
        <f t="shared" si="76"/>
        <v>307.83183251953426</v>
      </c>
      <c r="DM16" s="52">
        <f t="shared" si="77"/>
        <v>293.85862801170424</v>
      </c>
      <c r="DN16" s="52">
        <f t="shared" si="78"/>
        <v>-24130704.78276556</v>
      </c>
      <c r="DO16" s="52">
        <f t="shared" si="79"/>
        <v>305.64106447162374</v>
      </c>
      <c r="DP16" s="53">
        <f t="shared" si="80"/>
        <v>3579.4012389968284</v>
      </c>
      <c r="DT16" s="41" t="str">
        <f t="shared" si="84"/>
        <v>C17</v>
      </c>
      <c r="DU16" s="55">
        <f t="shared" si="85"/>
        <v>10</v>
      </c>
      <c r="DV16" s="56" t="str">
        <f t="shared" si="86"/>
        <v>φ</v>
      </c>
      <c r="DW16" s="57">
        <f t="shared" si="87"/>
        <v>14</v>
      </c>
    </row>
    <row r="17" spans="1:256" s="71" customFormat="1" ht="15" customHeight="1" thickTop="1" thickBot="1" x14ac:dyDescent="0.3">
      <c r="A17" s="72" t="s">
        <v>144</v>
      </c>
      <c r="B17" s="175" t="s">
        <v>10</v>
      </c>
      <c r="C17" s="93">
        <v>12</v>
      </c>
      <c r="D17" s="43">
        <v>300</v>
      </c>
      <c r="E17" s="43">
        <v>500</v>
      </c>
      <c r="F17" s="72">
        <v>1600</v>
      </c>
      <c r="G17" s="94">
        <v>1381.59</v>
      </c>
      <c r="H17" s="94">
        <v>54.11</v>
      </c>
      <c r="I17" s="94">
        <v>0</v>
      </c>
      <c r="J17" s="94">
        <v>-3.53</v>
      </c>
      <c r="K17" s="94">
        <v>0</v>
      </c>
      <c r="L17" s="73">
        <f t="shared" si="0"/>
        <v>9.6</v>
      </c>
      <c r="M17" s="43">
        <f t="shared" si="1"/>
        <v>34</v>
      </c>
      <c r="N17" s="73" t="str">
        <f t="shared" si="2"/>
        <v>sho.col</v>
      </c>
      <c r="O17" s="74"/>
      <c r="P17" s="75">
        <f t="shared" si="3"/>
        <v>54.11</v>
      </c>
      <c r="Q17" s="75">
        <f t="shared" si="4"/>
        <v>0</v>
      </c>
      <c r="R17" s="75">
        <f t="shared" si="5"/>
        <v>3.53</v>
      </c>
      <c r="S17" s="75">
        <f t="shared" si="6"/>
        <v>0</v>
      </c>
      <c r="T17" s="76"/>
      <c r="U17" s="290"/>
      <c r="V17" s="297" t="s">
        <v>101</v>
      </c>
      <c r="W17" s="77" t="s">
        <v>86</v>
      </c>
      <c r="X17" s="73">
        <v>500</v>
      </c>
      <c r="Y17" s="73">
        <v>0</v>
      </c>
      <c r="Z17" s="290"/>
      <c r="AA17" s="290"/>
      <c r="AB17" s="290"/>
      <c r="AC17" s="317">
        <v>0</v>
      </c>
      <c r="AD17" s="317">
        <v>1</v>
      </c>
      <c r="AE17" s="290"/>
      <c r="AF17" s="78"/>
      <c r="AG17" s="76"/>
      <c r="AH17" s="76"/>
      <c r="AI17" s="76" t="s">
        <v>155</v>
      </c>
      <c r="AJ17" s="312" t="str">
        <f t="shared" si="7"/>
        <v>C4</v>
      </c>
      <c r="AK17" s="313"/>
      <c r="AL17" s="43">
        <v>300</v>
      </c>
      <c r="AM17" s="43">
        <v>500</v>
      </c>
      <c r="AN17" s="73">
        <f t="shared" si="8"/>
        <v>440</v>
      </c>
      <c r="AO17" s="73">
        <f t="shared" si="9"/>
        <v>1381.59</v>
      </c>
      <c r="AP17" s="73">
        <f t="shared" si="10"/>
        <v>54.11</v>
      </c>
      <c r="AQ17" s="73">
        <f t="shared" si="11"/>
        <v>3.53</v>
      </c>
      <c r="AR17" s="73">
        <f t="shared" si="12"/>
        <v>57.277948717948718</v>
      </c>
      <c r="AS17" s="73">
        <f t="shared" si="13"/>
        <v>21.011692307692307</v>
      </c>
      <c r="AT17" s="73">
        <f t="shared" si="14"/>
        <v>57.277948717948718</v>
      </c>
      <c r="AU17" s="73">
        <f t="shared" si="15"/>
        <v>4.1457993122379806E-2</v>
      </c>
      <c r="AV17" s="73" t="str">
        <f t="shared" si="16"/>
        <v>Compression</v>
      </c>
      <c r="AW17" s="73">
        <f t="shared" si="17"/>
        <v>1500</v>
      </c>
      <c r="AX17" s="73">
        <f t="shared" si="18"/>
        <v>375</v>
      </c>
      <c r="AY17" s="73">
        <f t="shared" si="19"/>
        <v>0.01</v>
      </c>
      <c r="AZ17" s="79">
        <f t="shared" si="20"/>
        <v>10</v>
      </c>
      <c r="BA17" s="80" t="s">
        <v>65</v>
      </c>
      <c r="BB17" s="81">
        <v>14</v>
      </c>
      <c r="BC17" s="94">
        <v>27.06</v>
      </c>
      <c r="BD17" s="73">
        <f t="shared" si="21"/>
        <v>105.83005244258362</v>
      </c>
      <c r="BE17" s="73">
        <f t="shared" si="22"/>
        <v>-69.750052442583623</v>
      </c>
      <c r="BF17" s="73">
        <f t="shared" si="23"/>
        <v>110</v>
      </c>
      <c r="BG17" s="73">
        <f t="shared" si="24"/>
        <v>500</v>
      </c>
      <c r="BH17" s="73" t="str">
        <f t="shared" si="25"/>
        <v>No Need Shear Reinf.</v>
      </c>
      <c r="BI17" s="82" t="str">
        <f t="shared" si="26"/>
        <v>Use Φ10@110mm</v>
      </c>
      <c r="BJ17" s="73">
        <f t="shared" si="27"/>
        <v>300</v>
      </c>
      <c r="BK17" s="73">
        <f t="shared" si="28"/>
        <v>500</v>
      </c>
      <c r="BL17" s="73">
        <f t="shared" si="29"/>
        <v>220</v>
      </c>
      <c r="BM17" s="73">
        <f t="shared" si="30"/>
        <v>120</v>
      </c>
      <c r="BN17" s="73">
        <f t="shared" si="31"/>
        <v>460.90909090909082</v>
      </c>
      <c r="BO17" s="73">
        <f t="shared" si="32"/>
        <v>345.00000000000006</v>
      </c>
      <c r="BP17" s="73">
        <f t="shared" si="33"/>
        <v>1561.6369999999999</v>
      </c>
      <c r="BQ17" s="73">
        <f t="shared" si="34"/>
        <v>1389.962</v>
      </c>
      <c r="BR17" s="73">
        <f t="shared" si="35"/>
        <v>279.61703</v>
      </c>
      <c r="BS17" s="73">
        <f t="shared" si="36"/>
        <v>167.93657999999999</v>
      </c>
      <c r="BT17" s="73">
        <f t="shared" si="37"/>
        <v>0.17905379419160791</v>
      </c>
      <c r="BU17" s="73">
        <f t="shared" si="38"/>
        <v>0.12082098647301148</v>
      </c>
      <c r="BV17" s="73">
        <f t="shared" si="39"/>
        <v>3.9165020013173228E-2</v>
      </c>
      <c r="BW17" s="73">
        <f t="shared" si="40"/>
        <v>2.5550271788301886E-3</v>
      </c>
      <c r="BX17" s="73" t="str">
        <f t="shared" si="41"/>
        <v>Compression Controls</v>
      </c>
      <c r="BY17" s="73" t="str">
        <f t="shared" si="42"/>
        <v>Compression Controls</v>
      </c>
      <c r="BZ17" s="73">
        <f t="shared" si="43"/>
        <v>3267.8919989766605</v>
      </c>
      <c r="CA17" s="73">
        <f t="shared" si="44"/>
        <v>3778.8825860670904</v>
      </c>
      <c r="CB17" s="73">
        <f t="shared" si="45"/>
        <v>4180.1480000000001</v>
      </c>
      <c r="CC17" s="73">
        <f t="shared" si="46"/>
        <v>2173.6769600000002</v>
      </c>
      <c r="CD17" s="83" t="str">
        <f t="shared" si="47"/>
        <v xml:space="preserve">Safe </v>
      </c>
      <c r="CE17" s="84"/>
      <c r="CF17" s="76"/>
      <c r="CG17" s="73">
        <f t="shared" si="48"/>
        <v>385</v>
      </c>
      <c r="CH17" s="73">
        <f t="shared" si="49"/>
        <v>440</v>
      </c>
      <c r="CI17" s="73">
        <f t="shared" si="50"/>
        <v>229.1650200131732</v>
      </c>
      <c r="CJ17" s="73">
        <f t="shared" si="51"/>
        <v>15.578293754407998</v>
      </c>
      <c r="CK17" s="73">
        <f t="shared" si="52"/>
        <v>-6568.8985038790388</v>
      </c>
      <c r="CL17" s="73">
        <f t="shared" si="53"/>
        <v>130601.10255514552</v>
      </c>
      <c r="CM17" s="73">
        <f t="shared" si="54"/>
        <v>-86394000</v>
      </c>
      <c r="CN17" s="73">
        <f t="shared" si="55"/>
        <v>431.98173210331322</v>
      </c>
      <c r="CO17" s="73">
        <f t="shared" si="56"/>
        <v>3267.8919989766605</v>
      </c>
      <c r="CP17" s="85"/>
      <c r="CQ17" s="73">
        <f t="shared" si="57"/>
        <v>240</v>
      </c>
      <c r="CR17" s="73">
        <f t="shared" si="58"/>
        <v>92.555027178830187</v>
      </c>
      <c r="CS17" s="73">
        <f t="shared" si="59"/>
        <v>64.28608127901802</v>
      </c>
      <c r="CT17" s="73">
        <f t="shared" si="60"/>
        <v>-18957.319013928653</v>
      </c>
      <c r="CU17" s="73">
        <f t="shared" si="61"/>
        <v>86884.718250359147</v>
      </c>
      <c r="CV17" s="73">
        <f t="shared" si="62"/>
        <v>-47124000</v>
      </c>
      <c r="CW17" s="73">
        <f t="shared" si="63"/>
        <v>298.58568319811866</v>
      </c>
      <c r="CX17" s="73">
        <f t="shared" si="64"/>
        <v>3778.8825860670904</v>
      </c>
      <c r="CY17" s="85"/>
      <c r="CZ17" s="73">
        <f t="shared" si="65"/>
        <v>3570</v>
      </c>
      <c r="DA17" s="73">
        <f t="shared" si="66"/>
        <v>-1505361.7571059433</v>
      </c>
      <c r="DB17" s="75">
        <f t="shared" si="67"/>
        <v>-60063899.078380711</v>
      </c>
      <c r="DC17" s="75">
        <f t="shared" si="68"/>
        <v>458.3748967207315</v>
      </c>
      <c r="DD17" s="73">
        <f t="shared" si="69"/>
        <v>533.24241746457744</v>
      </c>
      <c r="DE17" s="73">
        <f t="shared" si="70"/>
        <v>-60063899.078380711</v>
      </c>
      <c r="DF17" s="73">
        <f t="shared" si="71"/>
        <v>458.3748967207315</v>
      </c>
      <c r="DG17" s="73">
        <f t="shared" si="72"/>
        <v>3263.6337625860233</v>
      </c>
      <c r="DH17" s="85"/>
      <c r="DI17" s="73">
        <f t="shared" si="73"/>
        <v>5950</v>
      </c>
      <c r="DJ17" s="73">
        <f t="shared" si="74"/>
        <v>-1754595.1765719207</v>
      </c>
      <c r="DK17" s="73">
        <f t="shared" si="75"/>
        <v>-28304741.714039624</v>
      </c>
      <c r="DL17" s="73">
        <f t="shared" si="76"/>
        <v>310.22433102721897</v>
      </c>
      <c r="DM17" s="73">
        <f t="shared" si="77"/>
        <v>339.31744458312266</v>
      </c>
      <c r="DN17" s="73">
        <f t="shared" si="78"/>
        <v>-25588457.425794646</v>
      </c>
      <c r="DO17" s="73">
        <f t="shared" si="79"/>
        <v>308.81597731144677</v>
      </c>
      <c r="DP17" s="73">
        <f t="shared" si="80"/>
        <v>3634.684346170719</v>
      </c>
      <c r="DQ17" s="76"/>
      <c r="DR17" s="76"/>
      <c r="DS17" s="76"/>
      <c r="DT17" s="41" t="str">
        <f t="shared" si="84"/>
        <v>C4</v>
      </c>
      <c r="DU17" s="55">
        <f t="shared" si="85"/>
        <v>10</v>
      </c>
      <c r="DV17" s="56" t="str">
        <f t="shared" si="86"/>
        <v>φ</v>
      </c>
      <c r="DW17" s="57">
        <f t="shared" si="87"/>
        <v>14</v>
      </c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  <c r="IU17" s="76"/>
      <c r="IV17" s="76"/>
    </row>
    <row r="18" spans="1:256" ht="15.75" customHeight="1" thickTop="1" thickBot="1" x14ac:dyDescent="0.3">
      <c r="A18" s="42" t="s">
        <v>144</v>
      </c>
      <c r="B18" s="175" t="s">
        <v>11</v>
      </c>
      <c r="C18" s="93">
        <v>15</v>
      </c>
      <c r="D18" s="43">
        <v>300</v>
      </c>
      <c r="E18" s="43">
        <v>500</v>
      </c>
      <c r="F18" s="42">
        <v>1600</v>
      </c>
      <c r="G18" s="94">
        <v>1277.31</v>
      </c>
      <c r="H18" s="94">
        <v>-48.74</v>
      </c>
      <c r="I18" s="94">
        <v>0</v>
      </c>
      <c r="J18" s="94">
        <v>-26.72</v>
      </c>
      <c r="K18" s="94">
        <v>0</v>
      </c>
      <c r="L18" s="43">
        <f t="shared" si="0"/>
        <v>9.6</v>
      </c>
      <c r="M18" s="43">
        <f t="shared" si="1"/>
        <v>34</v>
      </c>
      <c r="N18" s="44" t="str">
        <f t="shared" si="2"/>
        <v>sho.col</v>
      </c>
      <c r="O18" s="45"/>
      <c r="P18" s="46">
        <f t="shared" si="3"/>
        <v>48.74</v>
      </c>
      <c r="Q18" s="46">
        <f t="shared" si="4"/>
        <v>0</v>
      </c>
      <c r="R18" s="46">
        <f t="shared" si="5"/>
        <v>26.72</v>
      </c>
      <c r="S18" s="46">
        <f t="shared" si="6"/>
        <v>0</v>
      </c>
      <c r="U18" s="289"/>
      <c r="V18" s="298"/>
      <c r="W18" s="15" t="s">
        <v>97</v>
      </c>
      <c r="X18" s="43">
        <v>800</v>
      </c>
      <c r="Y18" s="43">
        <v>0</v>
      </c>
      <c r="Z18" s="295"/>
      <c r="AA18" s="295"/>
      <c r="AB18" s="295"/>
      <c r="AC18" s="295"/>
      <c r="AD18" s="293"/>
      <c r="AE18" s="293"/>
      <c r="AF18" s="70"/>
      <c r="AI18" s="4" t="s">
        <v>165</v>
      </c>
      <c r="AJ18" s="306" t="str">
        <f t="shared" si="7"/>
        <v>C5</v>
      </c>
      <c r="AK18" s="307"/>
      <c r="AL18" s="43">
        <v>300</v>
      </c>
      <c r="AM18" s="43">
        <v>500</v>
      </c>
      <c r="AN18" s="43">
        <f t="shared" si="8"/>
        <v>440</v>
      </c>
      <c r="AO18" s="43">
        <f t="shared" si="9"/>
        <v>1277.31</v>
      </c>
      <c r="AP18" s="43">
        <f t="shared" si="10"/>
        <v>48.74</v>
      </c>
      <c r="AQ18" s="43">
        <f t="shared" si="11"/>
        <v>26.72</v>
      </c>
      <c r="AR18" s="43">
        <f t="shared" si="12"/>
        <v>72.719487179487174</v>
      </c>
      <c r="AS18" s="43">
        <f t="shared" si="13"/>
        <v>42.466769230769231</v>
      </c>
      <c r="AT18" s="43">
        <f t="shared" si="14"/>
        <v>72.719487179487174</v>
      </c>
      <c r="AU18" s="43">
        <f t="shared" si="15"/>
        <v>5.6931744979282384E-2</v>
      </c>
      <c r="AV18" s="44" t="str">
        <f t="shared" si="16"/>
        <v>Compression</v>
      </c>
      <c r="AW18" s="43">
        <f t="shared" si="17"/>
        <v>1500</v>
      </c>
      <c r="AX18" s="43">
        <f t="shared" si="18"/>
        <v>375</v>
      </c>
      <c r="AY18" s="43">
        <f t="shared" si="19"/>
        <v>0.01</v>
      </c>
      <c r="AZ18" s="47">
        <f t="shared" si="20"/>
        <v>10</v>
      </c>
      <c r="BA18" s="48" t="s">
        <v>65</v>
      </c>
      <c r="BB18" s="49">
        <v>14</v>
      </c>
      <c r="BC18" s="94">
        <v>24.37</v>
      </c>
      <c r="BD18" s="43">
        <f t="shared" si="21"/>
        <v>105.83005244258362</v>
      </c>
      <c r="BE18" s="43">
        <f t="shared" si="22"/>
        <v>-73.336719109250282</v>
      </c>
      <c r="BF18" s="43">
        <f t="shared" si="23"/>
        <v>110</v>
      </c>
      <c r="BG18" s="43">
        <f t="shared" si="24"/>
        <v>500</v>
      </c>
      <c r="BH18" s="44" t="str">
        <f t="shared" si="25"/>
        <v>No Need Shear Reinf.</v>
      </c>
      <c r="BI18" s="50" t="str">
        <f t="shared" si="26"/>
        <v>Use Φ10@110mm</v>
      </c>
      <c r="BJ18" s="43">
        <f t="shared" si="27"/>
        <v>300</v>
      </c>
      <c r="BK18" s="43">
        <f t="shared" si="28"/>
        <v>500</v>
      </c>
      <c r="BL18" s="43">
        <f t="shared" si="29"/>
        <v>220</v>
      </c>
      <c r="BM18" s="43">
        <f t="shared" si="30"/>
        <v>120</v>
      </c>
      <c r="BN18" s="43">
        <f t="shared" si="31"/>
        <v>460.90909090909082</v>
      </c>
      <c r="BO18" s="43">
        <f t="shared" si="32"/>
        <v>345.00000000000006</v>
      </c>
      <c r="BP18" s="43">
        <f t="shared" si="33"/>
        <v>1561.6369999999999</v>
      </c>
      <c r="BQ18" s="43">
        <f t="shared" si="34"/>
        <v>1389.962</v>
      </c>
      <c r="BR18" s="43">
        <f t="shared" si="35"/>
        <v>279.61703</v>
      </c>
      <c r="BS18" s="43">
        <f t="shared" si="36"/>
        <v>167.93657999999999</v>
      </c>
      <c r="BT18" s="43">
        <f t="shared" si="37"/>
        <v>0.17905379419160791</v>
      </c>
      <c r="BU18" s="43">
        <f t="shared" si="38"/>
        <v>0.12082098647301148</v>
      </c>
      <c r="BV18" s="43">
        <f t="shared" si="39"/>
        <v>3.8158317088255789E-2</v>
      </c>
      <c r="BW18" s="43">
        <f t="shared" si="40"/>
        <v>2.091896250714392E-2</v>
      </c>
      <c r="BX18" s="44" t="str">
        <f t="shared" si="41"/>
        <v>Compression Controls</v>
      </c>
      <c r="BY18" s="44" t="str">
        <f t="shared" si="42"/>
        <v>Compression Controls</v>
      </c>
      <c r="BZ18" s="43">
        <f t="shared" si="43"/>
        <v>3282.7414144251334</v>
      </c>
      <c r="CA18" s="43">
        <f t="shared" si="44"/>
        <v>3312.9685991137135</v>
      </c>
      <c r="CB18" s="43">
        <f t="shared" si="45"/>
        <v>4180.1480000000001</v>
      </c>
      <c r="CC18" s="43">
        <f t="shared" si="46"/>
        <v>2173.6769600000002</v>
      </c>
      <c r="CD18" s="51" t="str">
        <f t="shared" si="47"/>
        <v xml:space="preserve">Safe </v>
      </c>
      <c r="CE18" s="9"/>
      <c r="CF18" s="4"/>
      <c r="CG18" s="43">
        <f t="shared" si="48"/>
        <v>385</v>
      </c>
      <c r="CH18" s="43">
        <f t="shared" si="49"/>
        <v>440</v>
      </c>
      <c r="CI18" s="43">
        <f t="shared" si="50"/>
        <v>228.15831708825579</v>
      </c>
      <c r="CJ18" s="52">
        <f t="shared" si="51"/>
        <v>15.647029858740845</v>
      </c>
      <c r="CK18" s="52">
        <f t="shared" si="52"/>
        <v>-6629.3862756919443</v>
      </c>
      <c r="CL18" s="52">
        <f t="shared" si="53"/>
        <v>129485.07351432889</v>
      </c>
      <c r="CM18" s="52">
        <f t="shared" si="54"/>
        <v>-86394000</v>
      </c>
      <c r="CN18" s="52">
        <f t="shared" si="55"/>
        <v>433.93537490471158</v>
      </c>
      <c r="CO18" s="53">
        <f t="shared" si="56"/>
        <v>3282.7414144251334</v>
      </c>
      <c r="CP18" s="18"/>
      <c r="CQ18" s="43">
        <f t="shared" si="57"/>
        <v>240</v>
      </c>
      <c r="CR18" s="43">
        <f t="shared" si="58"/>
        <v>110.91896250714393</v>
      </c>
      <c r="CS18" s="52">
        <f t="shared" si="59"/>
        <v>53.642766444166654</v>
      </c>
      <c r="CT18" s="52">
        <f t="shared" si="60"/>
        <v>-13848.527893199998</v>
      </c>
      <c r="CU18" s="52">
        <f t="shared" si="61"/>
        <v>135998.98324085836</v>
      </c>
      <c r="CV18" s="52">
        <f t="shared" si="62"/>
        <v>-47124000</v>
      </c>
      <c r="CW18" s="52">
        <f t="shared" si="63"/>
        <v>261.32430722395549</v>
      </c>
      <c r="CX18" s="53">
        <f t="shared" si="64"/>
        <v>3312.9685991137135</v>
      </c>
      <c r="CY18" s="18"/>
      <c r="CZ18" s="52">
        <f t="shared" si="65"/>
        <v>3570</v>
      </c>
      <c r="DA18" s="52">
        <f t="shared" si="66"/>
        <v>-1512549.6159898536</v>
      </c>
      <c r="DB18" s="54">
        <f t="shared" si="67"/>
        <v>-60054674.659479685</v>
      </c>
      <c r="DC18" s="54">
        <f t="shared" si="68"/>
        <v>460.23438880026703</v>
      </c>
      <c r="DD18" s="52">
        <f t="shared" si="69"/>
        <v>533.51213915203573</v>
      </c>
      <c r="DE18" s="52">
        <f t="shared" si="70"/>
        <v>-60054674.659479685</v>
      </c>
      <c r="DF18" s="52">
        <f t="shared" si="71"/>
        <v>460.23438880026703</v>
      </c>
      <c r="DG18" s="53">
        <f t="shared" si="72"/>
        <v>3276.9105360339072</v>
      </c>
      <c r="DH18" s="18"/>
      <c r="DI18" s="52">
        <f t="shared" si="73"/>
        <v>5950</v>
      </c>
      <c r="DJ18" s="52">
        <f t="shared" si="74"/>
        <v>-1536064.3461649872</v>
      </c>
      <c r="DK18" s="52">
        <f t="shared" si="75"/>
        <v>-28473010.45345296</v>
      </c>
      <c r="DL18" s="52">
        <f t="shared" si="76"/>
        <v>275.52998473514754</v>
      </c>
      <c r="DM18" s="52">
        <f t="shared" si="77"/>
        <v>292.71604669149036</v>
      </c>
      <c r="DN18" s="52">
        <f t="shared" si="78"/>
        <v>-25087741.046416484</v>
      </c>
      <c r="DO18" s="52">
        <f t="shared" si="79"/>
        <v>273.5744328673739</v>
      </c>
      <c r="DP18" s="53">
        <f t="shared" si="80"/>
        <v>3197.3684290979727</v>
      </c>
      <c r="DT18" s="41" t="str">
        <f t="shared" si="84"/>
        <v>C5</v>
      </c>
      <c r="DU18" s="55">
        <f t="shared" si="85"/>
        <v>10</v>
      </c>
      <c r="DV18" s="56" t="str">
        <f t="shared" si="86"/>
        <v>φ</v>
      </c>
      <c r="DW18" s="57">
        <f t="shared" si="87"/>
        <v>14</v>
      </c>
    </row>
    <row r="19" spans="1:256" ht="15" customHeight="1" thickTop="1" thickBot="1" x14ac:dyDescent="0.3">
      <c r="A19" s="42" t="s">
        <v>144</v>
      </c>
      <c r="B19" s="175" t="s">
        <v>168</v>
      </c>
      <c r="C19" s="93">
        <v>60</v>
      </c>
      <c r="D19" s="43">
        <v>300</v>
      </c>
      <c r="E19" s="43">
        <v>500</v>
      </c>
      <c r="F19" s="42">
        <v>1600</v>
      </c>
      <c r="G19" s="94">
        <v>859.25</v>
      </c>
      <c r="H19" s="94">
        <v>-16.350000000000001</v>
      </c>
      <c r="I19" s="94">
        <v>0</v>
      </c>
      <c r="J19" s="94">
        <v>2.52</v>
      </c>
      <c r="K19" s="94">
        <v>0</v>
      </c>
      <c r="L19" s="43">
        <f t="shared" si="0"/>
        <v>9.6</v>
      </c>
      <c r="M19" s="43">
        <f t="shared" si="1"/>
        <v>34</v>
      </c>
      <c r="N19" s="44" t="str">
        <f t="shared" si="2"/>
        <v>sho.col</v>
      </c>
      <c r="O19" s="45"/>
      <c r="P19" s="46">
        <f t="shared" si="3"/>
        <v>16.350000000000001</v>
      </c>
      <c r="Q19" s="46">
        <f t="shared" si="4"/>
        <v>0</v>
      </c>
      <c r="R19" s="46">
        <f t="shared" si="5"/>
        <v>2.52</v>
      </c>
      <c r="S19" s="46">
        <f t="shared" si="6"/>
        <v>0</v>
      </c>
      <c r="U19" s="289"/>
      <c r="V19" s="298"/>
      <c r="W19" s="15" t="s">
        <v>98</v>
      </c>
      <c r="X19" s="43">
        <v>5200</v>
      </c>
      <c r="Y19" s="43">
        <v>0</v>
      </c>
      <c r="Z19" s="292">
        <v>0</v>
      </c>
      <c r="AA19" s="292">
        <v>0</v>
      </c>
      <c r="AB19" s="292">
        <v>0</v>
      </c>
      <c r="AC19" s="292">
        <v>0</v>
      </c>
      <c r="AD19" s="293"/>
      <c r="AE19" s="293"/>
      <c r="AF19" s="70"/>
      <c r="AI19" s="4" t="s">
        <v>162</v>
      </c>
      <c r="AJ19" s="306" t="str">
        <f t="shared" si="7"/>
        <v>C6</v>
      </c>
      <c r="AK19" s="307"/>
      <c r="AL19" s="43">
        <v>300</v>
      </c>
      <c r="AM19" s="43">
        <v>500</v>
      </c>
      <c r="AN19" s="43">
        <f t="shared" si="8"/>
        <v>440</v>
      </c>
      <c r="AO19" s="43">
        <f t="shared" si="9"/>
        <v>859.25</v>
      </c>
      <c r="AP19" s="43">
        <f t="shared" si="10"/>
        <v>16.350000000000001</v>
      </c>
      <c r="AQ19" s="43">
        <f t="shared" si="11"/>
        <v>2.52</v>
      </c>
      <c r="AR19" s="43">
        <f t="shared" si="12"/>
        <v>18.611538461538462</v>
      </c>
      <c r="AS19" s="43">
        <f t="shared" si="13"/>
        <v>7.8023076923076928</v>
      </c>
      <c r="AT19" s="43">
        <f t="shared" si="14"/>
        <v>18.611538461538462</v>
      </c>
      <c r="AU19" s="43">
        <f t="shared" si="15"/>
        <v>2.1660213513574004E-2</v>
      </c>
      <c r="AV19" s="44" t="str">
        <f t="shared" si="16"/>
        <v>Compression</v>
      </c>
      <c r="AW19" s="43">
        <f t="shared" si="17"/>
        <v>1500</v>
      </c>
      <c r="AX19" s="43">
        <f t="shared" si="18"/>
        <v>375</v>
      </c>
      <c r="AY19" s="43">
        <f t="shared" si="19"/>
        <v>0.01</v>
      </c>
      <c r="AZ19" s="47">
        <f t="shared" si="20"/>
        <v>10</v>
      </c>
      <c r="BA19" s="48" t="s">
        <v>65</v>
      </c>
      <c r="BB19" s="49">
        <v>14</v>
      </c>
      <c r="BC19" s="94">
        <v>8.18</v>
      </c>
      <c r="BD19" s="43">
        <f t="shared" si="21"/>
        <v>105.83005244258362</v>
      </c>
      <c r="BE19" s="43">
        <f t="shared" si="22"/>
        <v>-94.923385775916969</v>
      </c>
      <c r="BF19" s="43">
        <f t="shared" si="23"/>
        <v>110</v>
      </c>
      <c r="BG19" s="43">
        <f t="shared" si="24"/>
        <v>500</v>
      </c>
      <c r="BH19" s="44" t="str">
        <f t="shared" si="25"/>
        <v>No Need Shear Reinf.</v>
      </c>
      <c r="BI19" s="50" t="str">
        <f t="shared" si="26"/>
        <v>Use Φ10@110mm</v>
      </c>
      <c r="BJ19" s="43">
        <f t="shared" si="27"/>
        <v>300</v>
      </c>
      <c r="BK19" s="43">
        <f t="shared" si="28"/>
        <v>500</v>
      </c>
      <c r="BL19" s="43">
        <f t="shared" si="29"/>
        <v>220</v>
      </c>
      <c r="BM19" s="43">
        <f t="shared" si="30"/>
        <v>120</v>
      </c>
      <c r="BN19" s="43">
        <f t="shared" si="31"/>
        <v>460.90909090909082</v>
      </c>
      <c r="BO19" s="43">
        <f t="shared" si="32"/>
        <v>345.00000000000006</v>
      </c>
      <c r="BP19" s="43">
        <f t="shared" si="33"/>
        <v>1561.6369999999999</v>
      </c>
      <c r="BQ19" s="43">
        <f t="shared" si="34"/>
        <v>1389.962</v>
      </c>
      <c r="BR19" s="43">
        <f t="shared" si="35"/>
        <v>279.61703</v>
      </c>
      <c r="BS19" s="43">
        <f t="shared" si="36"/>
        <v>167.93657999999999</v>
      </c>
      <c r="BT19" s="43">
        <f t="shared" si="37"/>
        <v>0.17905379419160791</v>
      </c>
      <c r="BU19" s="43">
        <f t="shared" si="38"/>
        <v>0.12082098647301148</v>
      </c>
      <c r="BV19" s="43">
        <f t="shared" si="39"/>
        <v>1.9028222286878092E-2</v>
      </c>
      <c r="BW19" s="43">
        <f t="shared" si="40"/>
        <v>2.9327902240325865E-3</v>
      </c>
      <c r="BX19" s="44" t="str">
        <f t="shared" si="41"/>
        <v>Compression Controls</v>
      </c>
      <c r="BY19" s="44" t="str">
        <f t="shared" si="42"/>
        <v>Compression Controls</v>
      </c>
      <c r="BZ19" s="43">
        <f t="shared" si="43"/>
        <v>3566.8515071583588</v>
      </c>
      <c r="CA19" s="43">
        <f t="shared" si="44"/>
        <v>3769.2793993896926</v>
      </c>
      <c r="CB19" s="43">
        <f t="shared" si="45"/>
        <v>4180.1480000000001</v>
      </c>
      <c r="CC19" s="43">
        <f t="shared" si="46"/>
        <v>2173.6769600000002</v>
      </c>
      <c r="CD19" s="51" t="str">
        <f t="shared" si="47"/>
        <v xml:space="preserve">Safe </v>
      </c>
      <c r="CE19" s="9"/>
      <c r="CF19" s="4"/>
      <c r="CG19" s="43">
        <f t="shared" si="48"/>
        <v>385</v>
      </c>
      <c r="CH19" s="43">
        <f t="shared" si="49"/>
        <v>440</v>
      </c>
      <c r="CI19" s="43">
        <f t="shared" si="50"/>
        <v>209.02822228687808</v>
      </c>
      <c r="CJ19" s="52">
        <f t="shared" si="51"/>
        <v>17.079033447935082</v>
      </c>
      <c r="CK19" s="52">
        <f t="shared" si="52"/>
        <v>-7889.5494341828717</v>
      </c>
      <c r="CL19" s="52">
        <f t="shared" si="53"/>
        <v>106234.44551313277</v>
      </c>
      <c r="CM19" s="52">
        <f t="shared" si="54"/>
        <v>-86394000</v>
      </c>
      <c r="CN19" s="52">
        <f t="shared" si="55"/>
        <v>471.50488067393735</v>
      </c>
      <c r="CO19" s="53">
        <f t="shared" si="56"/>
        <v>3566.8515071583588</v>
      </c>
      <c r="CP19" s="18"/>
      <c r="CQ19" s="43">
        <f t="shared" si="57"/>
        <v>240</v>
      </c>
      <c r="CR19" s="43">
        <f t="shared" si="58"/>
        <v>92.932790224032573</v>
      </c>
      <c r="CS19" s="52">
        <f t="shared" si="59"/>
        <v>64.024764409379799</v>
      </c>
      <c r="CT19" s="52">
        <f t="shared" si="60"/>
        <v>-18831.886916502306</v>
      </c>
      <c r="CU19" s="52">
        <f t="shared" si="61"/>
        <v>88090.581854043354</v>
      </c>
      <c r="CV19" s="52">
        <f t="shared" si="62"/>
        <v>-47124000</v>
      </c>
      <c r="CW19" s="52">
        <f t="shared" si="63"/>
        <v>297.81309828143793</v>
      </c>
      <c r="CX19" s="53">
        <f t="shared" si="64"/>
        <v>3769.2793993896926</v>
      </c>
      <c r="CY19" s="18"/>
      <c r="CZ19" s="52">
        <f t="shared" si="65"/>
        <v>3570</v>
      </c>
      <c r="DA19" s="52">
        <f t="shared" si="66"/>
        <v>-1649138.4928716905</v>
      </c>
      <c r="DB19" s="54">
        <f t="shared" si="67"/>
        <v>-59879385.60081467</v>
      </c>
      <c r="DC19" s="54">
        <f t="shared" si="68"/>
        <v>495.7752883451472</v>
      </c>
      <c r="DD19" s="52">
        <f t="shared" si="69"/>
        <v>538.27848882476565</v>
      </c>
      <c r="DE19" s="52">
        <f t="shared" si="70"/>
        <v>-59879385.60081467</v>
      </c>
      <c r="DF19" s="52">
        <f t="shared" si="71"/>
        <v>495.7752883451472</v>
      </c>
      <c r="DG19" s="53">
        <f t="shared" si="72"/>
        <v>3530.6725587843512</v>
      </c>
      <c r="DH19" s="18"/>
      <c r="DI19" s="52">
        <f t="shared" si="73"/>
        <v>5950</v>
      </c>
      <c r="DJ19" s="52">
        <f t="shared" si="74"/>
        <v>-1750099.7963340124</v>
      </c>
      <c r="DK19" s="52">
        <f t="shared" si="75"/>
        <v>-28308203.156822808</v>
      </c>
      <c r="DL19" s="52">
        <f t="shared" si="76"/>
        <v>309.50626109711919</v>
      </c>
      <c r="DM19" s="52">
        <f t="shared" si="77"/>
        <v>312.85092319948768</v>
      </c>
      <c r="DN19" s="52">
        <f t="shared" si="78"/>
        <v>-24716472.265192602</v>
      </c>
      <c r="DO19" s="52">
        <f t="shared" si="79"/>
        <v>307.63742227947512</v>
      </c>
      <c r="DP19" s="53">
        <f t="shared" si="80"/>
        <v>3610.4699305575568</v>
      </c>
      <c r="DT19" s="41" t="str">
        <f t="shared" si="84"/>
        <v>C6</v>
      </c>
      <c r="DU19" s="55">
        <f t="shared" si="85"/>
        <v>10</v>
      </c>
      <c r="DV19" s="56" t="str">
        <f t="shared" si="86"/>
        <v>φ</v>
      </c>
      <c r="DW19" s="57">
        <f t="shared" si="87"/>
        <v>14</v>
      </c>
    </row>
    <row r="20" spans="1:256" ht="15.75" customHeight="1" thickTop="1" thickBot="1" x14ac:dyDescent="0.3">
      <c r="A20" s="42" t="s">
        <v>144</v>
      </c>
      <c r="B20" s="175" t="s">
        <v>15</v>
      </c>
      <c r="C20" s="93">
        <v>24</v>
      </c>
      <c r="D20" s="43">
        <v>300</v>
      </c>
      <c r="E20" s="43">
        <v>500</v>
      </c>
      <c r="F20" s="42">
        <v>1600</v>
      </c>
      <c r="G20" s="94">
        <v>762.55</v>
      </c>
      <c r="H20" s="94">
        <v>-16.600000000000001</v>
      </c>
      <c r="I20" s="94">
        <v>0</v>
      </c>
      <c r="J20" s="94">
        <v>1.05</v>
      </c>
      <c r="K20" s="94">
        <v>0</v>
      </c>
      <c r="L20" s="43">
        <f t="shared" si="0"/>
        <v>9.6</v>
      </c>
      <c r="M20" s="43">
        <f t="shared" si="1"/>
        <v>34</v>
      </c>
      <c r="N20" s="44" t="str">
        <f t="shared" si="2"/>
        <v>sho.col</v>
      </c>
      <c r="O20" s="45"/>
      <c r="P20" s="46">
        <f t="shared" si="3"/>
        <v>16.600000000000001</v>
      </c>
      <c r="Q20" s="46">
        <f t="shared" si="4"/>
        <v>0</v>
      </c>
      <c r="R20" s="46">
        <f t="shared" si="5"/>
        <v>1.05</v>
      </c>
      <c r="S20" s="46">
        <f t="shared" si="6"/>
        <v>0</v>
      </c>
      <c r="U20" s="291"/>
      <c r="V20" s="299"/>
      <c r="W20" s="15" t="s">
        <v>99</v>
      </c>
      <c r="X20" s="43">
        <f>(X17*X18^3/12)/X19</f>
        <v>4102564.1025641025</v>
      </c>
      <c r="Y20" s="43">
        <v>0</v>
      </c>
      <c r="Z20" s="295"/>
      <c r="AA20" s="295"/>
      <c r="AB20" s="295"/>
      <c r="AC20" s="295"/>
      <c r="AD20" s="295"/>
      <c r="AE20" s="295"/>
      <c r="AF20" s="70"/>
      <c r="AI20" s="4" t="s">
        <v>164</v>
      </c>
      <c r="AJ20" s="306" t="str">
        <f t="shared" si="7"/>
        <v>C10</v>
      </c>
      <c r="AK20" s="307"/>
      <c r="AL20" s="43">
        <v>300</v>
      </c>
      <c r="AM20" s="43">
        <v>500</v>
      </c>
      <c r="AN20" s="43">
        <f t="shared" si="8"/>
        <v>440</v>
      </c>
      <c r="AO20" s="43">
        <f t="shared" si="9"/>
        <v>762.55</v>
      </c>
      <c r="AP20" s="43">
        <f t="shared" si="10"/>
        <v>16.600000000000001</v>
      </c>
      <c r="AQ20" s="43">
        <f t="shared" si="11"/>
        <v>1.05</v>
      </c>
      <c r="AR20" s="43">
        <f t="shared" si="12"/>
        <v>17.542307692307695</v>
      </c>
      <c r="AS20" s="43">
        <f t="shared" si="13"/>
        <v>6.4130769230769227</v>
      </c>
      <c r="AT20" s="43">
        <f t="shared" si="14"/>
        <v>17.542307692307695</v>
      </c>
      <c r="AU20" s="43">
        <f t="shared" si="15"/>
        <v>2.3004796658983275E-2</v>
      </c>
      <c r="AV20" s="44" t="str">
        <f t="shared" si="16"/>
        <v>Compression</v>
      </c>
      <c r="AW20" s="43">
        <f t="shared" si="17"/>
        <v>1500</v>
      </c>
      <c r="AX20" s="43">
        <f t="shared" si="18"/>
        <v>375</v>
      </c>
      <c r="AY20" s="43">
        <f t="shared" si="19"/>
        <v>0.01</v>
      </c>
      <c r="AZ20" s="47">
        <f t="shared" si="20"/>
        <v>10</v>
      </c>
      <c r="BA20" s="48" t="s">
        <v>65</v>
      </c>
      <c r="BB20" s="49">
        <v>14</v>
      </c>
      <c r="BC20" s="94">
        <v>8.3000000000000007</v>
      </c>
      <c r="BD20" s="43">
        <f t="shared" si="21"/>
        <v>105.83005244258362</v>
      </c>
      <c r="BE20" s="43">
        <f t="shared" si="22"/>
        <v>-94.763385775916959</v>
      </c>
      <c r="BF20" s="43">
        <f t="shared" si="23"/>
        <v>110</v>
      </c>
      <c r="BG20" s="43">
        <f t="shared" si="24"/>
        <v>500</v>
      </c>
      <c r="BH20" s="44" t="str">
        <f t="shared" si="25"/>
        <v>No Need Shear Reinf.</v>
      </c>
      <c r="BI20" s="50" t="str">
        <f t="shared" si="26"/>
        <v>Use Φ10@110mm</v>
      </c>
      <c r="BJ20" s="43">
        <f t="shared" si="27"/>
        <v>300</v>
      </c>
      <c r="BK20" s="43">
        <f t="shared" si="28"/>
        <v>500</v>
      </c>
      <c r="BL20" s="43">
        <f t="shared" si="29"/>
        <v>220</v>
      </c>
      <c r="BM20" s="43">
        <f t="shared" si="30"/>
        <v>120</v>
      </c>
      <c r="BN20" s="43">
        <f t="shared" si="31"/>
        <v>460.90909090909082</v>
      </c>
      <c r="BO20" s="43">
        <f t="shared" si="32"/>
        <v>345.00000000000006</v>
      </c>
      <c r="BP20" s="43">
        <f t="shared" si="33"/>
        <v>1561.6369999999999</v>
      </c>
      <c r="BQ20" s="43">
        <f t="shared" si="34"/>
        <v>1389.962</v>
      </c>
      <c r="BR20" s="43">
        <f t="shared" si="35"/>
        <v>279.61703</v>
      </c>
      <c r="BS20" s="43">
        <f t="shared" si="36"/>
        <v>167.93657999999999</v>
      </c>
      <c r="BT20" s="43">
        <f t="shared" si="37"/>
        <v>0.17905379419160791</v>
      </c>
      <c r="BU20" s="43">
        <f t="shared" si="38"/>
        <v>0.12082098647301148</v>
      </c>
      <c r="BV20" s="43">
        <f t="shared" si="39"/>
        <v>2.1769064323650913E-2</v>
      </c>
      <c r="BW20" s="43">
        <f t="shared" si="40"/>
        <v>1.3769588879417745E-3</v>
      </c>
      <c r="BX20" s="44" t="str">
        <f t="shared" si="41"/>
        <v>Compression Controls</v>
      </c>
      <c r="BY20" s="44" t="str">
        <f t="shared" si="42"/>
        <v>Compression Controls</v>
      </c>
      <c r="BZ20" s="43">
        <f t="shared" si="43"/>
        <v>3525.9567764242147</v>
      </c>
      <c r="CA20" s="43">
        <f t="shared" si="44"/>
        <v>3808.831757174255</v>
      </c>
      <c r="CB20" s="43">
        <f t="shared" si="45"/>
        <v>4180.1480000000001</v>
      </c>
      <c r="CC20" s="43">
        <f t="shared" si="46"/>
        <v>2173.6769600000002</v>
      </c>
      <c r="CD20" s="51" t="str">
        <f t="shared" si="47"/>
        <v xml:space="preserve">Safe </v>
      </c>
      <c r="CE20" s="9"/>
      <c r="CF20" s="4"/>
      <c r="CG20" s="43">
        <f t="shared" si="48"/>
        <v>385</v>
      </c>
      <c r="CH20" s="43">
        <f t="shared" si="49"/>
        <v>440</v>
      </c>
      <c r="CI20" s="43">
        <f t="shared" si="50"/>
        <v>211.76906432365092</v>
      </c>
      <c r="CJ20" s="52">
        <f t="shared" si="51"/>
        <v>16.857986370208906</v>
      </c>
      <c r="CK20" s="52">
        <f t="shared" si="52"/>
        <v>-7695.0280057838372</v>
      </c>
      <c r="CL20" s="52">
        <f t="shared" si="53"/>
        <v>109823.46122073637</v>
      </c>
      <c r="CM20" s="52">
        <f t="shared" si="54"/>
        <v>-86394000</v>
      </c>
      <c r="CN20" s="52">
        <f t="shared" si="55"/>
        <v>466.07623283853866</v>
      </c>
      <c r="CO20" s="53">
        <f t="shared" si="56"/>
        <v>3525.9567764242147</v>
      </c>
      <c r="CP20" s="18"/>
      <c r="CQ20" s="43">
        <f t="shared" si="57"/>
        <v>240</v>
      </c>
      <c r="CR20" s="43">
        <f t="shared" si="58"/>
        <v>91.376958887941782</v>
      </c>
      <c r="CS20" s="52">
        <f t="shared" si="59"/>
        <v>65.114883143535749</v>
      </c>
      <c r="CT20" s="52">
        <f t="shared" si="60"/>
        <v>-19355.14390889716</v>
      </c>
      <c r="CU20" s="52">
        <f t="shared" si="61"/>
        <v>83060.158418186154</v>
      </c>
      <c r="CV20" s="52">
        <f t="shared" si="62"/>
        <v>-47124000</v>
      </c>
      <c r="CW20" s="52">
        <f t="shared" si="63"/>
        <v>300.99620750519625</v>
      </c>
      <c r="CX20" s="53">
        <f t="shared" si="64"/>
        <v>3808.831757174255</v>
      </c>
      <c r="CY20" s="18"/>
      <c r="CZ20" s="52">
        <f t="shared" si="65"/>
        <v>3570</v>
      </c>
      <c r="DA20" s="52">
        <f t="shared" si="66"/>
        <v>-1629568.8807291323</v>
      </c>
      <c r="DB20" s="54">
        <f t="shared" si="67"/>
        <v>-59904499.936397612</v>
      </c>
      <c r="DC20" s="54">
        <f t="shared" si="68"/>
        <v>490.6606061991036</v>
      </c>
      <c r="DD20" s="52">
        <f t="shared" si="69"/>
        <v>537.63509926537085</v>
      </c>
      <c r="DE20" s="52">
        <f t="shared" si="70"/>
        <v>-59904499.936397612</v>
      </c>
      <c r="DF20" s="52">
        <f t="shared" si="71"/>
        <v>490.6606061991036</v>
      </c>
      <c r="DG20" s="53">
        <f t="shared" si="72"/>
        <v>3494.1537282616</v>
      </c>
      <c r="DH20" s="18"/>
      <c r="DI20" s="52">
        <f t="shared" si="73"/>
        <v>5950</v>
      </c>
      <c r="DJ20" s="52">
        <f t="shared" si="74"/>
        <v>-1768614.1892334928</v>
      </c>
      <c r="DK20" s="52">
        <f t="shared" si="75"/>
        <v>-28293947.074290212</v>
      </c>
      <c r="DL20" s="52">
        <f t="shared" si="76"/>
        <v>312.46471338125332</v>
      </c>
      <c r="DM20" s="52">
        <f t="shared" si="77"/>
        <v>319.72982148294295</v>
      </c>
      <c r="DN20" s="52">
        <f t="shared" si="78"/>
        <v>-24872741.535373442</v>
      </c>
      <c r="DO20" s="52">
        <f t="shared" si="79"/>
        <v>310.70049495563666</v>
      </c>
      <c r="DP20" s="53">
        <f t="shared" si="80"/>
        <v>3649.5688712430097</v>
      </c>
      <c r="DT20" s="41" t="str">
        <f t="shared" si="84"/>
        <v>C10</v>
      </c>
      <c r="DU20" s="55">
        <f t="shared" si="85"/>
        <v>10</v>
      </c>
      <c r="DV20" s="56" t="str">
        <f t="shared" si="86"/>
        <v>φ</v>
      </c>
      <c r="DW20" s="57">
        <f t="shared" si="87"/>
        <v>14</v>
      </c>
    </row>
    <row r="21" spans="1:256" s="150" customFormat="1" ht="15" customHeight="1" thickTop="1" thickBot="1" x14ac:dyDescent="0.3">
      <c r="A21" s="138" t="s">
        <v>144</v>
      </c>
      <c r="B21" s="176" t="s">
        <v>23</v>
      </c>
      <c r="C21" s="170">
        <v>27</v>
      </c>
      <c r="D21" s="43">
        <v>300</v>
      </c>
      <c r="E21" s="43">
        <v>600</v>
      </c>
      <c r="F21" s="138">
        <v>1600</v>
      </c>
      <c r="G21" s="139">
        <v>903.88</v>
      </c>
      <c r="H21" s="139">
        <v>-46.9</v>
      </c>
      <c r="I21" s="139">
        <v>0</v>
      </c>
      <c r="J21" s="139">
        <v>-18.13</v>
      </c>
      <c r="K21" s="139">
        <v>0</v>
      </c>
      <c r="L21" s="140">
        <f t="shared" si="0"/>
        <v>8</v>
      </c>
      <c r="M21" s="140">
        <f t="shared" si="1"/>
        <v>34</v>
      </c>
      <c r="N21" s="140" t="str">
        <f t="shared" si="2"/>
        <v>sho.col</v>
      </c>
      <c r="O21" s="45"/>
      <c r="P21" s="46">
        <f t="shared" si="3"/>
        <v>46.9</v>
      </c>
      <c r="Q21" s="46">
        <f t="shared" si="4"/>
        <v>0</v>
      </c>
      <c r="R21" s="46">
        <f t="shared" si="5"/>
        <v>18.13</v>
      </c>
      <c r="S21" s="46">
        <f t="shared" si="6"/>
        <v>0</v>
      </c>
      <c r="T21" s="141"/>
      <c r="U21" s="288" t="s">
        <v>9</v>
      </c>
      <c r="V21" s="300" t="s">
        <v>100</v>
      </c>
      <c r="W21" s="142" t="s">
        <v>86</v>
      </c>
      <c r="X21" s="140">
        <v>500</v>
      </c>
      <c r="Y21" s="140">
        <v>0</v>
      </c>
      <c r="Z21" s="292">
        <v>1000</v>
      </c>
      <c r="AA21" s="292">
        <v>1000</v>
      </c>
      <c r="AB21" s="292">
        <v>4350</v>
      </c>
      <c r="AC21" s="292">
        <f>(Z21*AA21^3/12)/AB21</f>
        <v>19157088.122605361</v>
      </c>
      <c r="AD21" s="292">
        <f>(0.7*(AC21+AC23))/(0.35*(X24+Y24))</f>
        <v>24.394024052788417</v>
      </c>
      <c r="AE21" s="292">
        <f>MIN(MIN(1,(0.7+0.05*(AD21+AD25))),MIN(1,(0.85+0.05*MIN(AD21,AD25))))</f>
        <v>0.9</v>
      </c>
      <c r="AF21" s="70"/>
      <c r="AG21" s="141"/>
      <c r="AH21" s="141"/>
      <c r="AI21" s="141" t="s">
        <v>152</v>
      </c>
      <c r="AJ21" s="308" t="str">
        <f t="shared" si="7"/>
        <v>C18</v>
      </c>
      <c r="AK21" s="309"/>
      <c r="AL21" s="43">
        <v>300</v>
      </c>
      <c r="AM21" s="43">
        <v>600</v>
      </c>
      <c r="AN21" s="140">
        <f t="shared" si="8"/>
        <v>540</v>
      </c>
      <c r="AO21" s="140">
        <f t="shared" si="9"/>
        <v>903.88</v>
      </c>
      <c r="AP21" s="140">
        <f t="shared" si="10"/>
        <v>46.9</v>
      </c>
      <c r="AQ21" s="140">
        <f t="shared" si="11"/>
        <v>18.13</v>
      </c>
      <c r="AR21" s="140">
        <f t="shared" si="12"/>
        <v>66.424615384615379</v>
      </c>
      <c r="AS21" s="140">
        <f t="shared" si="13"/>
        <v>30.756923076923073</v>
      </c>
      <c r="AT21" s="140">
        <f t="shared" si="14"/>
        <v>66.424615384615379</v>
      </c>
      <c r="AU21" s="140">
        <f t="shared" si="15"/>
        <v>7.3488311927042721E-2</v>
      </c>
      <c r="AV21" s="140" t="str">
        <f t="shared" si="16"/>
        <v>Compression</v>
      </c>
      <c r="AW21" s="140">
        <f t="shared" si="17"/>
        <v>1800</v>
      </c>
      <c r="AX21" s="140">
        <f t="shared" si="18"/>
        <v>450</v>
      </c>
      <c r="AY21" s="140">
        <f t="shared" si="19"/>
        <v>0.01</v>
      </c>
      <c r="AZ21" s="143">
        <f t="shared" si="20"/>
        <v>12</v>
      </c>
      <c r="BA21" s="144" t="s">
        <v>65</v>
      </c>
      <c r="BB21" s="145">
        <v>14</v>
      </c>
      <c r="BC21" s="139">
        <v>23.45</v>
      </c>
      <c r="BD21" s="140">
        <f t="shared" si="21"/>
        <v>126.99606293110035</v>
      </c>
      <c r="BE21" s="140">
        <f t="shared" si="22"/>
        <v>-95.729396264433674</v>
      </c>
      <c r="BF21" s="140">
        <f t="shared" si="23"/>
        <v>110</v>
      </c>
      <c r="BG21" s="140">
        <f t="shared" si="24"/>
        <v>600</v>
      </c>
      <c r="BH21" s="140" t="str">
        <f t="shared" si="25"/>
        <v>No Need Shear Reinf.</v>
      </c>
      <c r="BI21" s="146" t="str">
        <f t="shared" si="26"/>
        <v>Use Φ10@110mm</v>
      </c>
      <c r="BJ21" s="140">
        <f t="shared" si="27"/>
        <v>300</v>
      </c>
      <c r="BK21" s="140">
        <f t="shared" si="28"/>
        <v>600</v>
      </c>
      <c r="BL21" s="140">
        <f t="shared" si="29"/>
        <v>270</v>
      </c>
      <c r="BM21" s="140">
        <f t="shared" si="30"/>
        <v>120</v>
      </c>
      <c r="BN21" s="140">
        <f t="shared" ref="BN21:BO27" si="88">600*(BL21/0.85-60)*0.85/BL21</f>
        <v>486.66666666666657</v>
      </c>
      <c r="BO21" s="140">
        <f t="shared" si="88"/>
        <v>345.00000000000006</v>
      </c>
      <c r="BP21" s="140">
        <f t="shared" si="33"/>
        <v>1916.8044</v>
      </c>
      <c r="BQ21" s="140">
        <f t="shared" si="34"/>
        <v>1667.9543999999999</v>
      </c>
      <c r="BR21" s="140">
        <f t="shared" si="35"/>
        <v>408.58725600000002</v>
      </c>
      <c r="BS21" s="140">
        <f t="shared" si="36"/>
        <v>201.52389600000001</v>
      </c>
      <c r="BT21" s="140">
        <f t="shared" ref="BT21:BU27" si="89">BR21/BP21</f>
        <v>0.21316064174310118</v>
      </c>
      <c r="BU21" s="140">
        <f t="shared" si="89"/>
        <v>0.12082098647301151</v>
      </c>
      <c r="BV21" s="140">
        <f t="shared" si="39"/>
        <v>5.188741868389609E-2</v>
      </c>
      <c r="BW21" s="140">
        <f t="shared" si="40"/>
        <v>2.0057972297207592E-2</v>
      </c>
      <c r="BX21" s="140" t="str">
        <f t="shared" si="41"/>
        <v>Compression Controls</v>
      </c>
      <c r="BY21" s="140" t="str">
        <f t="shared" si="42"/>
        <v>Compression Controls</v>
      </c>
      <c r="BZ21" s="140">
        <f t="shared" si="43"/>
        <v>3856.9428163952771</v>
      </c>
      <c r="CA21" s="140">
        <f t="shared" si="44"/>
        <v>4001.6838102956635</v>
      </c>
      <c r="CB21" s="140">
        <f t="shared" si="45"/>
        <v>5016.1776</v>
      </c>
      <c r="CC21" s="140">
        <f t="shared" si="46"/>
        <v>2608.4123520000003</v>
      </c>
      <c r="CD21" s="147" t="str">
        <f t="shared" si="47"/>
        <v xml:space="preserve">Safe </v>
      </c>
      <c r="CE21" s="148"/>
      <c r="CF21" s="141"/>
      <c r="CG21" s="140">
        <f t="shared" si="48"/>
        <v>462</v>
      </c>
      <c r="CH21" s="140">
        <f t="shared" si="49"/>
        <v>540</v>
      </c>
      <c r="CI21" s="140">
        <f t="shared" si="50"/>
        <v>291.8874186838961</v>
      </c>
      <c r="CJ21" s="140">
        <f t="shared" si="51"/>
        <v>12.230742990214955</v>
      </c>
      <c r="CK21" s="140">
        <f t="shared" si="52"/>
        <v>-6069.2024294321509</v>
      </c>
      <c r="CL21" s="140">
        <f t="shared" si="53"/>
        <v>159233.44037672575</v>
      </c>
      <c r="CM21" s="140">
        <f t="shared" si="54"/>
        <v>-127234800</v>
      </c>
      <c r="CN21" s="140">
        <f t="shared" si="55"/>
        <v>510.62638376351254</v>
      </c>
      <c r="CO21" s="140">
        <f t="shared" si="56"/>
        <v>3856.9428163952771</v>
      </c>
      <c r="CP21" s="149"/>
      <c r="CQ21" s="140">
        <f t="shared" si="57"/>
        <v>240</v>
      </c>
      <c r="CR21" s="140">
        <f t="shared" si="58"/>
        <v>110.05797229720758</v>
      </c>
      <c r="CS21" s="140">
        <f t="shared" si="59"/>
        <v>64.87490048170875</v>
      </c>
      <c r="CT21" s="140">
        <f t="shared" si="60"/>
        <v>-16859.952231220199</v>
      </c>
      <c r="CU21" s="140">
        <f t="shared" si="61"/>
        <v>160874.9739394768</v>
      </c>
      <c r="CV21" s="140">
        <f t="shared" si="62"/>
        <v>-56548800</v>
      </c>
      <c r="CW21" s="140">
        <f t="shared" si="63"/>
        <v>263.0539073056658</v>
      </c>
      <c r="CX21" s="140">
        <f t="shared" si="64"/>
        <v>4001.6838102956635</v>
      </c>
      <c r="CY21" s="149"/>
      <c r="CZ21" s="140">
        <f t="shared" si="65"/>
        <v>3570</v>
      </c>
      <c r="DA21" s="140">
        <f t="shared" si="66"/>
        <v>-1771523.8305969818</v>
      </c>
      <c r="DB21" s="46">
        <f t="shared" si="67"/>
        <v>-91070789.300880641</v>
      </c>
      <c r="DC21" s="46">
        <f t="shared" si="68"/>
        <v>543.18863595556888</v>
      </c>
      <c r="DD21" s="140">
        <f t="shared" si="69"/>
        <v>543.66597904580794</v>
      </c>
      <c r="DE21" s="140">
        <f t="shared" si="70"/>
        <v>-91070789.300880641</v>
      </c>
      <c r="DF21" s="140">
        <f t="shared" si="71"/>
        <v>543.18863595556888</v>
      </c>
      <c r="DG21" s="140">
        <f t="shared" si="72"/>
        <v>3867.3712607227617</v>
      </c>
      <c r="DH21" s="149"/>
      <c r="DI21" s="140">
        <f t="shared" si="73"/>
        <v>7140</v>
      </c>
      <c r="DJ21" s="140">
        <f t="shared" si="74"/>
        <v>-1855572.1555958758</v>
      </c>
      <c r="DK21" s="140">
        <f t="shared" si="75"/>
        <v>-34158145.44019118</v>
      </c>
      <c r="DL21" s="140">
        <f t="shared" si="76"/>
        <v>277.14591537812976</v>
      </c>
      <c r="DM21" s="140">
        <f t="shared" si="77"/>
        <v>249.79821050228429</v>
      </c>
      <c r="DN21" s="140">
        <f t="shared" si="78"/>
        <v>-28658378.116626471</v>
      </c>
      <c r="DO21" s="140">
        <f t="shared" si="79"/>
        <v>274.50588560379083</v>
      </c>
      <c r="DP21" s="140">
        <f t="shared" si="80"/>
        <v>3830.3152196741885</v>
      </c>
      <c r="DQ21" s="141"/>
      <c r="DR21" s="141"/>
      <c r="DS21" s="141"/>
      <c r="DT21" s="41" t="str">
        <f t="shared" si="84"/>
        <v>C18</v>
      </c>
      <c r="DU21" s="55">
        <f t="shared" si="85"/>
        <v>12</v>
      </c>
      <c r="DV21" s="56" t="str">
        <f t="shared" si="86"/>
        <v>φ</v>
      </c>
      <c r="DW21" s="57">
        <f t="shared" si="87"/>
        <v>14</v>
      </c>
      <c r="DX21" s="141"/>
      <c r="DY21" s="141"/>
      <c r="DZ21" s="141"/>
      <c r="EA21" s="141"/>
      <c r="EB21" s="141"/>
      <c r="EC21" s="141"/>
      <c r="ED21" s="141"/>
      <c r="EE21" s="141"/>
      <c r="EF21" s="141"/>
      <c r="EG21" s="141"/>
      <c r="EH21" s="141"/>
      <c r="EI21" s="141"/>
      <c r="EJ21" s="141"/>
      <c r="EK21" s="141"/>
      <c r="EL21" s="141"/>
      <c r="EM21" s="141"/>
      <c r="EN21" s="141"/>
      <c r="EO21" s="141"/>
      <c r="EP21" s="141"/>
      <c r="EQ21" s="141"/>
      <c r="ER21" s="141"/>
      <c r="ES21" s="141"/>
      <c r="ET21" s="141"/>
      <c r="EU21" s="141"/>
      <c r="EV21" s="141"/>
      <c r="EW21" s="141"/>
      <c r="EX21" s="141"/>
      <c r="EY21" s="141"/>
      <c r="EZ21" s="141"/>
      <c r="FA21" s="141"/>
      <c r="FB21" s="141"/>
      <c r="FC21" s="141"/>
      <c r="FD21" s="141"/>
      <c r="FE21" s="141"/>
      <c r="FF21" s="141"/>
      <c r="FG21" s="141"/>
      <c r="FH21" s="141"/>
      <c r="FI21" s="141"/>
      <c r="FJ21" s="141"/>
      <c r="FK21" s="141"/>
      <c r="FL21" s="141"/>
      <c r="FM21" s="141"/>
      <c r="FN21" s="141"/>
      <c r="FO21" s="141"/>
      <c r="FP21" s="141"/>
      <c r="FQ21" s="141"/>
      <c r="FR21" s="141"/>
      <c r="FS21" s="141"/>
      <c r="FT21" s="141"/>
      <c r="FU21" s="141"/>
      <c r="FV21" s="141"/>
      <c r="FW21" s="141"/>
      <c r="FX21" s="141"/>
      <c r="FY21" s="141"/>
      <c r="FZ21" s="141"/>
      <c r="GA21" s="141"/>
      <c r="GB21" s="141"/>
      <c r="GC21" s="141"/>
      <c r="GD21" s="141"/>
      <c r="GE21" s="141"/>
      <c r="GF21" s="141"/>
      <c r="GG21" s="141"/>
      <c r="GH21" s="141"/>
      <c r="GI21" s="141"/>
      <c r="GJ21" s="141"/>
      <c r="GK21" s="141"/>
      <c r="GL21" s="141"/>
      <c r="GM21" s="141"/>
      <c r="GN21" s="141"/>
      <c r="GO21" s="141"/>
      <c r="GP21" s="141"/>
      <c r="GQ21" s="141"/>
      <c r="GR21" s="141"/>
      <c r="GS21" s="141"/>
      <c r="GT21" s="141"/>
      <c r="GU21" s="141"/>
      <c r="GV21" s="141"/>
      <c r="GW21" s="141"/>
      <c r="GX21" s="141"/>
      <c r="GY21" s="141"/>
      <c r="GZ21" s="141"/>
      <c r="HA21" s="141"/>
      <c r="HB21" s="141"/>
      <c r="HC21" s="141"/>
      <c r="HD21" s="141"/>
      <c r="HE21" s="141"/>
      <c r="HF21" s="141"/>
      <c r="HG21" s="141"/>
      <c r="HH21" s="141"/>
      <c r="HI21" s="141"/>
      <c r="HJ21" s="141"/>
      <c r="HK21" s="141"/>
      <c r="HL21" s="141"/>
      <c r="HM21" s="141"/>
      <c r="HN21" s="141"/>
      <c r="HO21" s="141"/>
      <c r="HP21" s="141"/>
      <c r="HQ21" s="141"/>
      <c r="HR21" s="141"/>
      <c r="HS21" s="141"/>
      <c r="HT21" s="141"/>
      <c r="HU21" s="141"/>
      <c r="HV21" s="141"/>
      <c r="HW21" s="141"/>
      <c r="HX21" s="141"/>
      <c r="HY21" s="141"/>
      <c r="HZ21" s="141"/>
      <c r="IA21" s="141"/>
      <c r="IB21" s="141"/>
      <c r="IC21" s="141"/>
      <c r="ID21" s="141"/>
      <c r="IE21" s="141"/>
      <c r="IF21" s="141"/>
      <c r="IG21" s="141"/>
      <c r="IH21" s="141"/>
      <c r="II21" s="141"/>
      <c r="IJ21" s="141"/>
      <c r="IK21" s="141"/>
      <c r="IL21" s="141"/>
      <c r="IM21" s="141"/>
      <c r="IN21" s="141"/>
      <c r="IO21" s="141"/>
      <c r="IP21" s="141"/>
      <c r="IQ21" s="141"/>
      <c r="IR21" s="141"/>
      <c r="IS21" s="141"/>
      <c r="IT21" s="141"/>
      <c r="IU21" s="141"/>
      <c r="IV21" s="141"/>
    </row>
    <row r="22" spans="1:256" s="112" customFormat="1" ht="15.75" customHeight="1" thickTop="1" thickBot="1" x14ac:dyDescent="0.3">
      <c r="A22" s="96" t="s">
        <v>142</v>
      </c>
      <c r="B22" s="177" t="s">
        <v>169</v>
      </c>
      <c r="C22" s="171">
        <v>36</v>
      </c>
      <c r="D22" s="43">
        <v>300</v>
      </c>
      <c r="E22" s="43">
        <v>500</v>
      </c>
      <c r="F22" s="96">
        <v>2900</v>
      </c>
      <c r="G22" s="98">
        <v>1098.6199999999999</v>
      </c>
      <c r="H22" s="98">
        <v>-19.670000000000002</v>
      </c>
      <c r="I22" s="98">
        <v>-46.09</v>
      </c>
      <c r="J22" s="98">
        <v>6.08</v>
      </c>
      <c r="K22" s="98">
        <v>-3.53</v>
      </c>
      <c r="L22" s="99">
        <f t="shared" si="0"/>
        <v>17.399999999999999</v>
      </c>
      <c r="M22" s="99">
        <f t="shared" si="1"/>
        <v>28.87871555651985</v>
      </c>
      <c r="N22" s="99" t="str">
        <f t="shared" si="2"/>
        <v>sho.col</v>
      </c>
      <c r="O22" s="100"/>
      <c r="P22" s="101">
        <f t="shared" si="3"/>
        <v>19.670000000000002</v>
      </c>
      <c r="Q22" s="101">
        <f t="shared" si="4"/>
        <v>46.09</v>
      </c>
      <c r="R22" s="101">
        <f t="shared" si="5"/>
        <v>6.08</v>
      </c>
      <c r="S22" s="101">
        <f t="shared" si="6"/>
        <v>3.53</v>
      </c>
      <c r="T22" s="102"/>
      <c r="U22" s="303"/>
      <c r="V22" s="304"/>
      <c r="W22" s="103" t="s">
        <v>97</v>
      </c>
      <c r="X22" s="99">
        <v>600</v>
      </c>
      <c r="Y22" s="99">
        <v>0</v>
      </c>
      <c r="Z22" s="305"/>
      <c r="AA22" s="305"/>
      <c r="AB22" s="305"/>
      <c r="AC22" s="305"/>
      <c r="AD22" s="303"/>
      <c r="AE22" s="303"/>
      <c r="AF22" s="104"/>
      <c r="AG22" s="102"/>
      <c r="AH22" s="102"/>
      <c r="AI22" s="102"/>
      <c r="AJ22" s="310" t="str">
        <f t="shared" si="7"/>
        <v>C222</v>
      </c>
      <c r="AK22" s="311"/>
      <c r="AL22" s="43">
        <v>300</v>
      </c>
      <c r="AM22" s="43">
        <v>500</v>
      </c>
      <c r="AN22" s="99">
        <f t="shared" si="8"/>
        <v>440</v>
      </c>
      <c r="AO22" s="99">
        <f t="shared" si="9"/>
        <v>1098.6199999999999</v>
      </c>
      <c r="AP22" s="99">
        <f t="shared" si="10"/>
        <v>19.670000000000002</v>
      </c>
      <c r="AQ22" s="99">
        <f t="shared" si="11"/>
        <v>6.08</v>
      </c>
      <c r="AR22" s="99">
        <f t="shared" si="12"/>
        <v>25.126410256410256</v>
      </c>
      <c r="AS22" s="99">
        <f t="shared" si="13"/>
        <v>12.434923076923077</v>
      </c>
      <c r="AT22" s="99">
        <f t="shared" si="14"/>
        <v>25.126410256410256</v>
      </c>
      <c r="AU22" s="99">
        <f t="shared" si="15"/>
        <v>2.2870883705385172E-2</v>
      </c>
      <c r="AV22" s="99" t="str">
        <f t="shared" si="16"/>
        <v>Compression</v>
      </c>
      <c r="AW22" s="99">
        <f t="shared" si="17"/>
        <v>1500</v>
      </c>
      <c r="AX22" s="99">
        <f t="shared" si="18"/>
        <v>375</v>
      </c>
      <c r="AY22" s="99">
        <f t="shared" si="19"/>
        <v>0.01</v>
      </c>
      <c r="AZ22" s="105">
        <f t="shared" si="20"/>
        <v>10</v>
      </c>
      <c r="BA22" s="106" t="s">
        <v>65</v>
      </c>
      <c r="BB22" s="107">
        <v>14</v>
      </c>
      <c r="BC22" s="95">
        <v>8.01</v>
      </c>
      <c r="BD22" s="99">
        <f t="shared" si="21"/>
        <v>105.83005244258362</v>
      </c>
      <c r="BE22" s="99">
        <f t="shared" si="22"/>
        <v>-95.150052442583615</v>
      </c>
      <c r="BF22" s="99">
        <f t="shared" si="23"/>
        <v>110</v>
      </c>
      <c r="BG22" s="99">
        <f t="shared" si="24"/>
        <v>500</v>
      </c>
      <c r="BH22" s="99" t="str">
        <f t="shared" si="25"/>
        <v>No Need Shear Reinf.</v>
      </c>
      <c r="BI22" s="108" t="str">
        <f t="shared" si="26"/>
        <v>Use Φ10@110mm</v>
      </c>
      <c r="BJ22" s="99">
        <f t="shared" si="27"/>
        <v>300</v>
      </c>
      <c r="BK22" s="99">
        <f t="shared" si="28"/>
        <v>500</v>
      </c>
      <c r="BL22" s="99">
        <f t="shared" si="29"/>
        <v>220</v>
      </c>
      <c r="BM22" s="99">
        <f t="shared" si="30"/>
        <v>120</v>
      </c>
      <c r="BN22" s="99">
        <f t="shared" si="88"/>
        <v>460.90909090909082</v>
      </c>
      <c r="BO22" s="99">
        <f t="shared" si="88"/>
        <v>345.00000000000006</v>
      </c>
      <c r="BP22" s="99">
        <f t="shared" si="33"/>
        <v>1561.6369999999999</v>
      </c>
      <c r="BQ22" s="99">
        <f t="shared" si="34"/>
        <v>1389.962</v>
      </c>
      <c r="BR22" s="99">
        <f t="shared" si="35"/>
        <v>279.61703</v>
      </c>
      <c r="BS22" s="99">
        <f t="shared" si="36"/>
        <v>167.93657999999999</v>
      </c>
      <c r="BT22" s="99">
        <f t="shared" si="89"/>
        <v>0.17905379419160791</v>
      </c>
      <c r="BU22" s="99">
        <f t="shared" si="89"/>
        <v>0.12082098647301148</v>
      </c>
      <c r="BV22" s="99">
        <f t="shared" si="39"/>
        <v>1.7904279914802208E-2</v>
      </c>
      <c r="BW22" s="99">
        <f t="shared" si="40"/>
        <v>5.534215652363875E-3</v>
      </c>
      <c r="BX22" s="99" t="str">
        <f t="shared" si="41"/>
        <v>Compression Controls</v>
      </c>
      <c r="BY22" s="99" t="str">
        <f t="shared" si="42"/>
        <v>Compression Controls</v>
      </c>
      <c r="BZ22" s="99">
        <f t="shared" si="43"/>
        <v>3583.6359771070261</v>
      </c>
      <c r="CA22" s="99">
        <f t="shared" si="44"/>
        <v>3703.1562614962004</v>
      </c>
      <c r="CB22" s="99">
        <f t="shared" si="45"/>
        <v>4180.1480000000001</v>
      </c>
      <c r="CC22" s="99">
        <f t="shared" si="46"/>
        <v>2173.6769600000002</v>
      </c>
      <c r="CD22" s="109" t="str">
        <f t="shared" si="47"/>
        <v xml:space="preserve">Safe </v>
      </c>
      <c r="CE22" s="110"/>
      <c r="CF22" s="102"/>
      <c r="CG22" s="99">
        <f t="shared" si="48"/>
        <v>385</v>
      </c>
      <c r="CH22" s="99">
        <f t="shared" si="49"/>
        <v>440</v>
      </c>
      <c r="CI22" s="99">
        <f t="shared" si="50"/>
        <v>207.9042799148022</v>
      </c>
      <c r="CJ22" s="99">
        <f t="shared" si="51"/>
        <v>17.17136367497082</v>
      </c>
      <c r="CK22" s="99">
        <f t="shared" si="52"/>
        <v>-7970.800033974323</v>
      </c>
      <c r="CL22" s="99">
        <f t="shared" si="53"/>
        <v>104735.33211825514</v>
      </c>
      <c r="CM22" s="99">
        <f t="shared" si="54"/>
        <v>-86394000</v>
      </c>
      <c r="CN22" s="99">
        <f t="shared" si="55"/>
        <v>473.73484804721932</v>
      </c>
      <c r="CO22" s="99">
        <f t="shared" si="56"/>
        <v>3583.6359771070261</v>
      </c>
      <c r="CP22" s="111"/>
      <c r="CQ22" s="99">
        <f t="shared" si="57"/>
        <v>240</v>
      </c>
      <c r="CR22" s="99">
        <f t="shared" si="58"/>
        <v>95.534215652363883</v>
      </c>
      <c r="CS22" s="99">
        <f t="shared" si="59"/>
        <v>62.281350816248356</v>
      </c>
      <c r="CT22" s="99">
        <f t="shared" si="60"/>
        <v>-17995.04839179921</v>
      </c>
      <c r="CU22" s="99">
        <f t="shared" si="61"/>
        <v>96135.676688663254</v>
      </c>
      <c r="CV22" s="99">
        <f t="shared" si="62"/>
        <v>-47124000</v>
      </c>
      <c r="CW22" s="99">
        <f t="shared" si="63"/>
        <v>292.49814901870309</v>
      </c>
      <c r="CX22" s="99">
        <f t="shared" si="64"/>
        <v>3703.1562614962004</v>
      </c>
      <c r="CY22" s="111"/>
      <c r="CZ22" s="99">
        <f t="shared" si="65"/>
        <v>3570</v>
      </c>
      <c r="DA22" s="99">
        <f t="shared" si="66"/>
        <v>-1657163.4414083122</v>
      </c>
      <c r="DB22" s="101">
        <f t="shared" si="67"/>
        <v>-59869086.916859329</v>
      </c>
      <c r="DC22" s="101">
        <f t="shared" si="68"/>
        <v>497.87471782491798</v>
      </c>
      <c r="DD22" s="99">
        <f t="shared" si="69"/>
        <v>538.53875502318476</v>
      </c>
      <c r="DE22" s="99">
        <f t="shared" si="70"/>
        <v>-59869086.916859329</v>
      </c>
      <c r="DF22" s="99">
        <f t="shared" si="71"/>
        <v>497.87471782491798</v>
      </c>
      <c r="DG22" s="99">
        <f t="shared" si="72"/>
        <v>3545.6624852699142</v>
      </c>
      <c r="DH22" s="111"/>
      <c r="DI22" s="99">
        <f t="shared" si="73"/>
        <v>5950</v>
      </c>
      <c r="DJ22" s="99">
        <f t="shared" si="74"/>
        <v>-1719142.8337368697</v>
      </c>
      <c r="DK22" s="99">
        <f t="shared" si="75"/>
        <v>-28332040.018022612</v>
      </c>
      <c r="DL22" s="99">
        <f t="shared" si="76"/>
        <v>304.56591003517173</v>
      </c>
      <c r="DM22" s="99">
        <f t="shared" si="77"/>
        <v>305.57797087138749</v>
      </c>
      <c r="DN22" s="99">
        <f t="shared" si="78"/>
        <v>-24611112.639779024</v>
      </c>
      <c r="DO22" s="99">
        <f t="shared" si="79"/>
        <v>302.60080355350783</v>
      </c>
      <c r="DP22" s="99">
        <f t="shared" si="80"/>
        <v>3547.7340810722276</v>
      </c>
      <c r="DQ22" s="102"/>
      <c r="DR22" s="102"/>
      <c r="DS22" s="102"/>
      <c r="DT22" s="41" t="str">
        <f t="shared" si="84"/>
        <v>C222</v>
      </c>
      <c r="DU22" s="55">
        <f t="shared" si="85"/>
        <v>10</v>
      </c>
      <c r="DV22" s="56" t="str">
        <f t="shared" si="86"/>
        <v>φ</v>
      </c>
      <c r="DW22" s="57">
        <f t="shared" si="87"/>
        <v>14</v>
      </c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102"/>
      <c r="HR22" s="102"/>
      <c r="HS22" s="102"/>
      <c r="HT22" s="102"/>
      <c r="HU22" s="102"/>
      <c r="HV22" s="102"/>
      <c r="HW22" s="102"/>
      <c r="HX22" s="102"/>
      <c r="HY22" s="102"/>
      <c r="HZ22" s="102"/>
      <c r="IA22" s="102"/>
      <c r="IB22" s="102"/>
      <c r="IC22" s="102"/>
      <c r="ID22" s="102"/>
      <c r="IE22" s="102"/>
      <c r="IF22" s="102"/>
      <c r="IG22" s="102"/>
      <c r="IH22" s="102"/>
      <c r="II22" s="102"/>
      <c r="IJ22" s="102"/>
      <c r="IK22" s="102"/>
      <c r="IL22" s="102"/>
      <c r="IM22" s="102"/>
      <c r="IN22" s="102"/>
      <c r="IO22" s="102"/>
      <c r="IP22" s="102"/>
      <c r="IQ22" s="102"/>
      <c r="IR22" s="102"/>
      <c r="IS22" s="102"/>
      <c r="IT22" s="102"/>
      <c r="IU22" s="102"/>
      <c r="IV22" s="102"/>
    </row>
    <row r="23" spans="1:256" ht="15" customHeight="1" thickTop="1" thickBot="1" x14ac:dyDescent="0.3">
      <c r="A23" s="42" t="s">
        <v>142</v>
      </c>
      <c r="B23" s="178" t="s">
        <v>170</v>
      </c>
      <c r="C23" s="93">
        <v>39</v>
      </c>
      <c r="D23" s="43">
        <v>300</v>
      </c>
      <c r="E23" s="43">
        <v>500</v>
      </c>
      <c r="F23" s="42">
        <v>2900</v>
      </c>
      <c r="G23" s="95">
        <v>993.36</v>
      </c>
      <c r="H23" s="95">
        <v>4.2300000000000004</v>
      </c>
      <c r="I23" s="95">
        <v>74.849999999999994</v>
      </c>
      <c r="J23" s="95">
        <v>-25.35</v>
      </c>
      <c r="K23" s="95">
        <v>22.4</v>
      </c>
      <c r="L23" s="43">
        <f t="shared" si="0"/>
        <v>17.399999999999999</v>
      </c>
      <c r="M23" s="43">
        <f t="shared" si="1"/>
        <v>33.321843687374752</v>
      </c>
      <c r="N23" s="44" t="str">
        <f t="shared" si="2"/>
        <v>sho.col</v>
      </c>
      <c r="O23" s="45"/>
      <c r="P23" s="46">
        <f t="shared" si="3"/>
        <v>4.2300000000000004</v>
      </c>
      <c r="Q23" s="46">
        <f t="shared" si="4"/>
        <v>74.849999999999994</v>
      </c>
      <c r="R23" s="46">
        <f t="shared" si="5"/>
        <v>25.35</v>
      </c>
      <c r="S23" s="46">
        <f t="shared" si="6"/>
        <v>22.4</v>
      </c>
      <c r="U23" s="289"/>
      <c r="V23" s="298"/>
      <c r="W23" s="15" t="s">
        <v>98</v>
      </c>
      <c r="X23" s="43">
        <v>5200</v>
      </c>
      <c r="Y23" s="43">
        <v>0</v>
      </c>
      <c r="Z23" s="292">
        <f>D7</f>
        <v>300</v>
      </c>
      <c r="AA23" s="292">
        <f>E7</f>
        <v>500</v>
      </c>
      <c r="AB23" s="292">
        <f>F7</f>
        <v>1600</v>
      </c>
      <c r="AC23" s="292">
        <f>(Z23*AA23^3/12)/AB23</f>
        <v>1953125</v>
      </c>
      <c r="AD23" s="293"/>
      <c r="AE23" s="293"/>
      <c r="AF23" s="70"/>
      <c r="AJ23" s="306" t="str">
        <f t="shared" si="7"/>
        <v>C223</v>
      </c>
      <c r="AK23" s="307"/>
      <c r="AL23" s="43">
        <v>300</v>
      </c>
      <c r="AM23" s="43">
        <v>500</v>
      </c>
      <c r="AN23" s="43">
        <f t="shared" si="8"/>
        <v>440</v>
      </c>
      <c r="AO23" s="43">
        <f t="shared" si="9"/>
        <v>993.36</v>
      </c>
      <c r="AP23" s="43">
        <f t="shared" si="10"/>
        <v>4.2300000000000004</v>
      </c>
      <c r="AQ23" s="43">
        <f t="shared" si="11"/>
        <v>25.35</v>
      </c>
      <c r="AR23" s="43">
        <f t="shared" si="12"/>
        <v>26.98</v>
      </c>
      <c r="AS23" s="43">
        <f t="shared" si="13"/>
        <v>26.716615384615388</v>
      </c>
      <c r="AT23" s="43">
        <f t="shared" si="14"/>
        <v>26.98</v>
      </c>
      <c r="AU23" s="43">
        <f t="shared" si="15"/>
        <v>2.7160344688733188E-2</v>
      </c>
      <c r="AV23" s="44" t="str">
        <f t="shared" si="16"/>
        <v>Compression</v>
      </c>
      <c r="AW23" s="43">
        <f t="shared" si="17"/>
        <v>1500</v>
      </c>
      <c r="AX23" s="43">
        <f t="shared" si="18"/>
        <v>375</v>
      </c>
      <c r="AY23" s="43">
        <f t="shared" si="19"/>
        <v>0.01</v>
      </c>
      <c r="AZ23" s="47">
        <f t="shared" si="20"/>
        <v>10</v>
      </c>
      <c r="BA23" s="48" t="s">
        <v>65</v>
      </c>
      <c r="BB23" s="49">
        <v>14</v>
      </c>
      <c r="BC23" s="95">
        <v>21.4</v>
      </c>
      <c r="BD23" s="43">
        <f t="shared" si="21"/>
        <v>105.83005244258362</v>
      </c>
      <c r="BE23" s="43">
        <f t="shared" si="22"/>
        <v>-77.29671910925029</v>
      </c>
      <c r="BF23" s="43">
        <f t="shared" si="23"/>
        <v>110</v>
      </c>
      <c r="BG23" s="43">
        <f t="shared" si="24"/>
        <v>500</v>
      </c>
      <c r="BH23" s="44" t="str">
        <f t="shared" si="25"/>
        <v>No Need Shear Reinf.</v>
      </c>
      <c r="BI23" s="50" t="str">
        <f t="shared" si="26"/>
        <v>Use Φ10@110mm</v>
      </c>
      <c r="BJ23" s="43">
        <f t="shared" si="27"/>
        <v>300</v>
      </c>
      <c r="BK23" s="43">
        <f t="shared" si="28"/>
        <v>500</v>
      </c>
      <c r="BL23" s="43">
        <f t="shared" si="29"/>
        <v>220</v>
      </c>
      <c r="BM23" s="43">
        <f t="shared" si="30"/>
        <v>120</v>
      </c>
      <c r="BN23" s="43">
        <f t="shared" si="88"/>
        <v>460.90909090909082</v>
      </c>
      <c r="BO23" s="43">
        <f t="shared" si="88"/>
        <v>345.00000000000006</v>
      </c>
      <c r="BP23" s="43">
        <f t="shared" si="33"/>
        <v>1561.6369999999999</v>
      </c>
      <c r="BQ23" s="43">
        <f t="shared" si="34"/>
        <v>1389.962</v>
      </c>
      <c r="BR23" s="43">
        <f t="shared" si="35"/>
        <v>279.61703</v>
      </c>
      <c r="BS23" s="43">
        <f t="shared" si="36"/>
        <v>167.93657999999999</v>
      </c>
      <c r="BT23" s="43">
        <f t="shared" si="89"/>
        <v>0.17905379419160791</v>
      </c>
      <c r="BU23" s="43">
        <f t="shared" si="89"/>
        <v>0.12082098647301148</v>
      </c>
      <c r="BV23" s="43">
        <f t="shared" si="39"/>
        <v>4.2582749456390439E-3</v>
      </c>
      <c r="BW23" s="43">
        <f t="shared" si="40"/>
        <v>2.5519449142304907E-2</v>
      </c>
      <c r="BX23" s="44" t="str">
        <f t="shared" si="41"/>
        <v>Compression Controls</v>
      </c>
      <c r="BY23" s="44" t="str">
        <f t="shared" si="42"/>
        <v>Compression Controls</v>
      </c>
      <c r="BZ23" s="43">
        <f t="shared" si="43"/>
        <v>3787.9815859585124</v>
      </c>
      <c r="CA23" s="43">
        <f t="shared" si="44"/>
        <v>3196.8841372215793</v>
      </c>
      <c r="CB23" s="43">
        <f t="shared" si="45"/>
        <v>4180.1480000000001</v>
      </c>
      <c r="CC23" s="43">
        <f t="shared" si="46"/>
        <v>2173.6769600000002</v>
      </c>
      <c r="CD23" s="51" t="str">
        <f t="shared" si="47"/>
        <v xml:space="preserve">Safe </v>
      </c>
      <c r="CE23" s="9"/>
      <c r="CF23" s="4"/>
      <c r="CG23" s="43">
        <f t="shared" si="48"/>
        <v>385</v>
      </c>
      <c r="CH23" s="43">
        <f t="shared" si="49"/>
        <v>440</v>
      </c>
      <c r="CI23" s="43">
        <f t="shared" si="50"/>
        <v>194.25827494563904</v>
      </c>
      <c r="CJ23" s="52">
        <f t="shared" si="51"/>
        <v>18.377595502683342</v>
      </c>
      <c r="CK23" s="52">
        <f t="shared" si="52"/>
        <v>-9032.2840423613397</v>
      </c>
      <c r="CL23" s="52">
        <f t="shared" si="53"/>
        <v>85150.431828216446</v>
      </c>
      <c r="CM23" s="52">
        <f t="shared" si="54"/>
        <v>-86394000</v>
      </c>
      <c r="CN23" s="52">
        <f t="shared" si="55"/>
        <v>500.9662890407368</v>
      </c>
      <c r="CO23" s="53">
        <f t="shared" si="56"/>
        <v>3787.9815859585124</v>
      </c>
      <c r="CP23" s="18"/>
      <c r="CQ23" s="43">
        <f t="shared" si="57"/>
        <v>240</v>
      </c>
      <c r="CR23" s="43">
        <f t="shared" si="58"/>
        <v>115.51944914230489</v>
      </c>
      <c r="CS23" s="52">
        <f t="shared" si="59"/>
        <v>51.506478295878786</v>
      </c>
      <c r="CT23" s="52">
        <f t="shared" si="60"/>
        <v>-12823.109582021818</v>
      </c>
      <c r="CU23" s="52">
        <f t="shared" si="61"/>
        <v>145857.02313154232</v>
      </c>
      <c r="CV23" s="52">
        <f t="shared" si="62"/>
        <v>-47124000</v>
      </c>
      <c r="CW23" s="52">
        <f t="shared" si="63"/>
        <v>252.12238360502289</v>
      </c>
      <c r="CX23" s="53">
        <f t="shared" si="64"/>
        <v>3196.8841372215793</v>
      </c>
      <c r="CY23" s="18"/>
      <c r="CZ23" s="52">
        <f t="shared" si="65"/>
        <v>3570</v>
      </c>
      <c r="DA23" s="52">
        <f t="shared" si="66"/>
        <v>-1754595.9168881371</v>
      </c>
      <c r="DB23" s="54">
        <f t="shared" si="67"/>
        <v>-59744048.573326886</v>
      </c>
      <c r="DC23" s="54">
        <f t="shared" si="68"/>
        <v>523.45384766385257</v>
      </c>
      <c r="DD23" s="52">
        <f t="shared" si="69"/>
        <v>541.54212422629769</v>
      </c>
      <c r="DE23" s="52">
        <f t="shared" si="70"/>
        <v>-59744048.573326886</v>
      </c>
      <c r="DF23" s="52">
        <f t="shared" si="71"/>
        <v>523.45384766385257</v>
      </c>
      <c r="DG23" s="53">
        <f t="shared" si="72"/>
        <v>3728.2974723199072</v>
      </c>
      <c r="DH23" s="18"/>
      <c r="DI23" s="52">
        <f t="shared" si="73"/>
        <v>5950</v>
      </c>
      <c r="DJ23" s="52">
        <f t="shared" si="74"/>
        <v>-1481318.5552065717</v>
      </c>
      <c r="DK23" s="52">
        <f t="shared" si="75"/>
        <v>-28515164.712490939</v>
      </c>
      <c r="DL23" s="52">
        <f t="shared" si="76"/>
        <v>266.91605275029463</v>
      </c>
      <c r="DM23" s="52">
        <f t="shared" si="77"/>
        <v>247.49007429852713</v>
      </c>
      <c r="DN23" s="52">
        <f t="shared" si="78"/>
        <v>-24232603.722995292</v>
      </c>
      <c r="DO23" s="52">
        <f t="shared" si="79"/>
        <v>264.36662611145886</v>
      </c>
      <c r="DP23" s="53">
        <f t="shared" si="80"/>
        <v>3070.3835293312936</v>
      </c>
      <c r="DT23" s="41" t="str">
        <f t="shared" si="84"/>
        <v>C223</v>
      </c>
      <c r="DU23" s="55">
        <f t="shared" si="85"/>
        <v>10</v>
      </c>
      <c r="DV23" s="56" t="str">
        <f t="shared" si="86"/>
        <v>φ</v>
      </c>
      <c r="DW23" s="57">
        <f t="shared" si="87"/>
        <v>14</v>
      </c>
    </row>
    <row r="24" spans="1:256" ht="15.75" customHeight="1" thickTop="1" thickBot="1" x14ac:dyDescent="0.3">
      <c r="A24" s="42" t="s">
        <v>142</v>
      </c>
      <c r="B24" s="178" t="s">
        <v>171</v>
      </c>
      <c r="C24" s="93">
        <v>42</v>
      </c>
      <c r="D24" s="43">
        <v>300</v>
      </c>
      <c r="E24" s="43">
        <v>500</v>
      </c>
      <c r="F24" s="42">
        <v>2900</v>
      </c>
      <c r="G24" s="95">
        <v>695.95</v>
      </c>
      <c r="H24" s="95">
        <v>9.4600000000000009</v>
      </c>
      <c r="I24" s="95">
        <v>-16.239999999999998</v>
      </c>
      <c r="J24" s="95">
        <v>-27.31</v>
      </c>
      <c r="K24" s="95">
        <v>2.54</v>
      </c>
      <c r="L24" s="43">
        <f t="shared" si="0"/>
        <v>17.399999999999999</v>
      </c>
      <c r="M24" s="43">
        <f t="shared" si="1"/>
        <v>40.990147783251231</v>
      </c>
      <c r="N24" s="44" t="str">
        <f t="shared" si="2"/>
        <v>sho.col</v>
      </c>
      <c r="O24" s="45"/>
      <c r="P24" s="46">
        <f t="shared" si="3"/>
        <v>9.4600000000000009</v>
      </c>
      <c r="Q24" s="46">
        <f t="shared" si="4"/>
        <v>16.239999999999998</v>
      </c>
      <c r="R24" s="46">
        <f t="shared" si="5"/>
        <v>27.31</v>
      </c>
      <c r="S24" s="46">
        <f t="shared" si="6"/>
        <v>2.54</v>
      </c>
      <c r="U24" s="289"/>
      <c r="V24" s="299"/>
      <c r="W24" s="15" t="s">
        <v>99</v>
      </c>
      <c r="X24" s="43">
        <f>(X21*X22^3/12)/X23</f>
        <v>1730769.2307692308</v>
      </c>
      <c r="Y24" s="43">
        <v>0</v>
      </c>
      <c r="Z24" s="293"/>
      <c r="AA24" s="293"/>
      <c r="AB24" s="293"/>
      <c r="AC24" s="295"/>
      <c r="AD24" s="295"/>
      <c r="AE24" s="293"/>
      <c r="AF24" s="70"/>
      <c r="AJ24" s="306" t="str">
        <f t="shared" si="7"/>
        <v>C224</v>
      </c>
      <c r="AK24" s="307"/>
      <c r="AL24" s="43">
        <v>300</v>
      </c>
      <c r="AM24" s="43">
        <v>500</v>
      </c>
      <c r="AN24" s="43">
        <f t="shared" si="8"/>
        <v>440</v>
      </c>
      <c r="AO24" s="43">
        <f t="shared" si="9"/>
        <v>695.95</v>
      </c>
      <c r="AP24" s="43">
        <f t="shared" si="10"/>
        <v>9.4600000000000009</v>
      </c>
      <c r="AQ24" s="43">
        <f t="shared" si="11"/>
        <v>27.31</v>
      </c>
      <c r="AR24" s="43">
        <f t="shared" si="12"/>
        <v>33.968974358974357</v>
      </c>
      <c r="AS24" s="43">
        <f t="shared" si="13"/>
        <v>30.366307692307693</v>
      </c>
      <c r="AT24" s="43">
        <f t="shared" si="14"/>
        <v>33.968974358974357</v>
      </c>
      <c r="AU24" s="43">
        <f t="shared" si="15"/>
        <v>4.8809504072094771E-2</v>
      </c>
      <c r="AV24" s="44" t="str">
        <f t="shared" si="16"/>
        <v>Compression</v>
      </c>
      <c r="AW24" s="43">
        <f t="shared" si="17"/>
        <v>1500</v>
      </c>
      <c r="AX24" s="43">
        <f t="shared" si="18"/>
        <v>375</v>
      </c>
      <c r="AY24" s="43">
        <f t="shared" si="19"/>
        <v>0.01</v>
      </c>
      <c r="AZ24" s="47">
        <f t="shared" si="20"/>
        <v>10</v>
      </c>
      <c r="BA24" s="48" t="s">
        <v>65</v>
      </c>
      <c r="BB24" s="49">
        <v>14</v>
      </c>
      <c r="BC24" s="95">
        <v>9.0500000000000007</v>
      </c>
      <c r="BD24" s="43">
        <f t="shared" si="21"/>
        <v>105.83005244258362</v>
      </c>
      <c r="BE24" s="43">
        <f t="shared" si="22"/>
        <v>-93.763385775916959</v>
      </c>
      <c r="BF24" s="43">
        <f t="shared" si="23"/>
        <v>110</v>
      </c>
      <c r="BG24" s="43">
        <f t="shared" si="24"/>
        <v>500</v>
      </c>
      <c r="BH24" s="44" t="str">
        <f t="shared" si="25"/>
        <v>No Need Shear Reinf.</v>
      </c>
      <c r="BI24" s="50" t="str">
        <f t="shared" si="26"/>
        <v>Use Φ10@110mm</v>
      </c>
      <c r="BJ24" s="43">
        <f t="shared" si="27"/>
        <v>300</v>
      </c>
      <c r="BK24" s="43">
        <f t="shared" si="28"/>
        <v>500</v>
      </c>
      <c r="BL24" s="43">
        <f t="shared" si="29"/>
        <v>220</v>
      </c>
      <c r="BM24" s="43">
        <f t="shared" si="30"/>
        <v>120</v>
      </c>
      <c r="BN24" s="43">
        <f t="shared" si="88"/>
        <v>460.90909090909082</v>
      </c>
      <c r="BO24" s="43">
        <f t="shared" si="88"/>
        <v>345.00000000000006</v>
      </c>
      <c r="BP24" s="43">
        <f t="shared" si="33"/>
        <v>1561.6369999999999</v>
      </c>
      <c r="BQ24" s="43">
        <f t="shared" si="34"/>
        <v>1389.962</v>
      </c>
      <c r="BR24" s="43">
        <f t="shared" si="35"/>
        <v>279.61703</v>
      </c>
      <c r="BS24" s="43">
        <f t="shared" si="36"/>
        <v>167.93657999999999</v>
      </c>
      <c r="BT24" s="43">
        <f t="shared" si="89"/>
        <v>0.17905379419160791</v>
      </c>
      <c r="BU24" s="43">
        <f t="shared" si="89"/>
        <v>0.12082098647301148</v>
      </c>
      <c r="BV24" s="43">
        <f t="shared" si="39"/>
        <v>1.3592930526618292E-2</v>
      </c>
      <c r="BW24" s="43">
        <f t="shared" si="40"/>
        <v>3.9241324807816648E-2</v>
      </c>
      <c r="BX24" s="44" t="str">
        <f t="shared" si="41"/>
        <v>Compression Controls</v>
      </c>
      <c r="BY24" s="44" t="str">
        <f t="shared" si="42"/>
        <v>Compression Controls</v>
      </c>
      <c r="BZ24" s="43">
        <f t="shared" si="43"/>
        <v>3648.0922193275246</v>
      </c>
      <c r="CA24" s="43">
        <f t="shared" si="44"/>
        <v>2854.1419166873129</v>
      </c>
      <c r="CB24" s="43">
        <f t="shared" si="45"/>
        <v>4180.1480000000001</v>
      </c>
      <c r="CC24" s="43">
        <f t="shared" si="46"/>
        <v>2173.6769600000002</v>
      </c>
      <c r="CD24" s="51" t="str">
        <f t="shared" si="47"/>
        <v xml:space="preserve">Safe </v>
      </c>
      <c r="CE24" s="9"/>
      <c r="CF24" s="4"/>
      <c r="CG24" s="43">
        <f t="shared" si="48"/>
        <v>385</v>
      </c>
      <c r="CH24" s="43">
        <f t="shared" si="49"/>
        <v>440</v>
      </c>
      <c r="CI24" s="43">
        <f t="shared" si="50"/>
        <v>203.59293052661832</v>
      </c>
      <c r="CJ24" s="52">
        <f t="shared" si="51"/>
        <v>17.534989995800704</v>
      </c>
      <c r="CK24" s="52">
        <f t="shared" si="52"/>
        <v>-8290.7911963046208</v>
      </c>
      <c r="CL24" s="52">
        <f t="shared" si="53"/>
        <v>98831.338314848254</v>
      </c>
      <c r="CM24" s="52">
        <f t="shared" si="54"/>
        <v>-86394000</v>
      </c>
      <c r="CN24" s="52">
        <f t="shared" si="55"/>
        <v>482.30830631358742</v>
      </c>
      <c r="CO24" s="53">
        <f t="shared" si="56"/>
        <v>3648.0922193275246</v>
      </c>
      <c r="CP24" s="18"/>
      <c r="CQ24" s="43">
        <f t="shared" si="57"/>
        <v>240</v>
      </c>
      <c r="CR24" s="43">
        <f t="shared" si="58"/>
        <v>129.24132480781665</v>
      </c>
      <c r="CS24" s="52">
        <f t="shared" si="59"/>
        <v>46.037906287696437</v>
      </c>
      <c r="CT24" s="52">
        <f t="shared" si="60"/>
        <v>-10198.195018094289</v>
      </c>
      <c r="CU24" s="52">
        <f t="shared" si="61"/>
        <v>171092.10251207676</v>
      </c>
      <c r="CV24" s="52">
        <f t="shared" si="62"/>
        <v>-47124000</v>
      </c>
      <c r="CW24" s="52">
        <f t="shared" si="63"/>
        <v>225.19835633808862</v>
      </c>
      <c r="CX24" s="53">
        <f t="shared" si="64"/>
        <v>2854.1419166873129</v>
      </c>
      <c r="CY24" s="18"/>
      <c r="CZ24" s="52">
        <f t="shared" si="65"/>
        <v>3570</v>
      </c>
      <c r="DA24" s="52">
        <f t="shared" si="66"/>
        <v>-1687946.4760399451</v>
      </c>
      <c r="DB24" s="54">
        <f t="shared" si="67"/>
        <v>-59829582.0224154</v>
      </c>
      <c r="DC24" s="54">
        <f t="shared" si="68"/>
        <v>505.9386799718406</v>
      </c>
      <c r="DD24" s="52">
        <f t="shared" si="69"/>
        <v>539.51836218234359</v>
      </c>
      <c r="DE24" s="52">
        <f t="shared" si="70"/>
        <v>-59829582.0224154</v>
      </c>
      <c r="DF24" s="52">
        <f t="shared" si="71"/>
        <v>505.9386799718406</v>
      </c>
      <c r="DG24" s="53">
        <f t="shared" si="72"/>
        <v>3603.2391749989424</v>
      </c>
      <c r="DH24" s="18"/>
      <c r="DI24" s="52">
        <f t="shared" si="73"/>
        <v>5950</v>
      </c>
      <c r="DJ24" s="52">
        <f t="shared" si="74"/>
        <v>-1318028.2347869817</v>
      </c>
      <c r="DK24" s="52">
        <f t="shared" si="75"/>
        <v>-28640898.259214025</v>
      </c>
      <c r="DL24" s="52">
        <f t="shared" si="76"/>
        <v>241.45328287136022</v>
      </c>
      <c r="DM24" s="52">
        <f t="shared" si="77"/>
        <v>225.86130344724037</v>
      </c>
      <c r="DN24" s="52">
        <f t="shared" si="78"/>
        <v>-24847022.388600208</v>
      </c>
      <c r="DO24" s="52">
        <f t="shared" si="79"/>
        <v>238.99070816238989</v>
      </c>
      <c r="DP24" s="53">
        <f t="shared" si="80"/>
        <v>2760.0830289596274</v>
      </c>
      <c r="DT24" s="41" t="str">
        <f t="shared" si="84"/>
        <v>C224</v>
      </c>
      <c r="DU24" s="55">
        <f t="shared" si="85"/>
        <v>10</v>
      </c>
      <c r="DV24" s="56" t="str">
        <f t="shared" si="86"/>
        <v>φ</v>
      </c>
      <c r="DW24" s="57">
        <f t="shared" si="87"/>
        <v>14</v>
      </c>
    </row>
    <row r="25" spans="1:256" ht="15" customHeight="1" thickTop="1" thickBot="1" x14ac:dyDescent="0.3">
      <c r="A25" s="42" t="s">
        <v>142</v>
      </c>
      <c r="B25" s="178" t="s">
        <v>172</v>
      </c>
      <c r="C25" s="93">
        <v>18</v>
      </c>
      <c r="D25" s="43">
        <v>300</v>
      </c>
      <c r="E25" s="43">
        <v>500</v>
      </c>
      <c r="F25" s="42">
        <v>2900</v>
      </c>
      <c r="G25" s="95">
        <v>604.04999999999995</v>
      </c>
      <c r="H25" s="95">
        <v>25.72</v>
      </c>
      <c r="I25" s="95">
        <v>16.2</v>
      </c>
      <c r="J25" s="95">
        <v>-7.99</v>
      </c>
      <c r="K25" s="95">
        <v>-1.38</v>
      </c>
      <c r="L25" s="43">
        <f t="shared" si="0"/>
        <v>17.399999999999999</v>
      </c>
      <c r="M25" s="43">
        <f t="shared" si="1"/>
        <v>26.441679626749611</v>
      </c>
      <c r="N25" s="44" t="str">
        <f t="shared" si="2"/>
        <v>sho.col</v>
      </c>
      <c r="O25" s="45"/>
      <c r="P25" s="46">
        <f t="shared" si="3"/>
        <v>25.72</v>
      </c>
      <c r="Q25" s="46">
        <f t="shared" si="4"/>
        <v>16.2</v>
      </c>
      <c r="R25" s="46">
        <f t="shared" si="5"/>
        <v>7.99</v>
      </c>
      <c r="S25" s="46">
        <f t="shared" si="6"/>
        <v>1.38</v>
      </c>
      <c r="U25" s="289"/>
      <c r="V25" s="300" t="s">
        <v>101</v>
      </c>
      <c r="W25" s="15" t="s">
        <v>86</v>
      </c>
      <c r="X25" s="43">
        <v>500</v>
      </c>
      <c r="Y25" s="43">
        <v>0</v>
      </c>
      <c r="Z25" s="293">
        <v>500</v>
      </c>
      <c r="AA25" s="293">
        <v>501</v>
      </c>
      <c r="AB25" s="293">
        <v>502</v>
      </c>
      <c r="AC25" s="292">
        <v>0</v>
      </c>
      <c r="AD25" s="292">
        <v>1</v>
      </c>
      <c r="AE25" s="293"/>
      <c r="AF25" s="70"/>
      <c r="AJ25" s="306" t="str">
        <f t="shared" si="7"/>
        <v>C228</v>
      </c>
      <c r="AK25" s="307"/>
      <c r="AL25" s="43">
        <v>300</v>
      </c>
      <c r="AM25" s="43">
        <v>500</v>
      </c>
      <c r="AN25" s="43">
        <f t="shared" si="8"/>
        <v>440</v>
      </c>
      <c r="AO25" s="43">
        <f t="shared" si="9"/>
        <v>604.04999999999995</v>
      </c>
      <c r="AP25" s="43">
        <f t="shared" si="10"/>
        <v>25.72</v>
      </c>
      <c r="AQ25" s="43">
        <f t="shared" si="11"/>
        <v>7.99</v>
      </c>
      <c r="AR25" s="43">
        <f t="shared" si="12"/>
        <v>32.890512820512818</v>
      </c>
      <c r="AS25" s="43">
        <f t="shared" si="13"/>
        <v>16.299538461538461</v>
      </c>
      <c r="AT25" s="43">
        <f t="shared" si="14"/>
        <v>32.890512820512818</v>
      </c>
      <c r="AU25" s="43">
        <f t="shared" si="15"/>
        <v>5.4449983975685491E-2</v>
      </c>
      <c r="AV25" s="44" t="str">
        <f t="shared" si="16"/>
        <v>Compression</v>
      </c>
      <c r="AW25" s="43">
        <f t="shared" si="17"/>
        <v>1500</v>
      </c>
      <c r="AX25" s="43">
        <f t="shared" si="18"/>
        <v>375</v>
      </c>
      <c r="AY25" s="43">
        <f t="shared" si="19"/>
        <v>0.01</v>
      </c>
      <c r="AZ25" s="47">
        <f t="shared" si="20"/>
        <v>10</v>
      </c>
      <c r="BA25" s="48" t="s">
        <v>65</v>
      </c>
      <c r="BB25" s="49">
        <v>14</v>
      </c>
      <c r="BC25" s="95">
        <v>2.88</v>
      </c>
      <c r="BD25" s="43">
        <f t="shared" si="21"/>
        <v>105.83005244258362</v>
      </c>
      <c r="BE25" s="43">
        <f t="shared" si="22"/>
        <v>-101.99005244258363</v>
      </c>
      <c r="BF25" s="43">
        <f t="shared" si="23"/>
        <v>110</v>
      </c>
      <c r="BG25" s="43">
        <f t="shared" si="24"/>
        <v>500</v>
      </c>
      <c r="BH25" s="44" t="str">
        <f t="shared" si="25"/>
        <v>No Need Shear Reinf.</v>
      </c>
      <c r="BI25" s="50" t="str">
        <f t="shared" si="26"/>
        <v>Use Φ10@110mm</v>
      </c>
      <c r="BJ25" s="43">
        <f t="shared" si="27"/>
        <v>300</v>
      </c>
      <c r="BK25" s="43">
        <f t="shared" si="28"/>
        <v>500</v>
      </c>
      <c r="BL25" s="43">
        <f t="shared" si="29"/>
        <v>220</v>
      </c>
      <c r="BM25" s="43">
        <f t="shared" si="30"/>
        <v>120</v>
      </c>
      <c r="BN25" s="43">
        <f t="shared" si="88"/>
        <v>460.90909090909082</v>
      </c>
      <c r="BO25" s="43">
        <f t="shared" si="88"/>
        <v>345.00000000000006</v>
      </c>
      <c r="BP25" s="43">
        <f t="shared" si="33"/>
        <v>1561.6369999999999</v>
      </c>
      <c r="BQ25" s="43">
        <f t="shared" si="34"/>
        <v>1389.962</v>
      </c>
      <c r="BR25" s="43">
        <f t="shared" si="35"/>
        <v>279.61703</v>
      </c>
      <c r="BS25" s="43">
        <f t="shared" si="36"/>
        <v>167.93657999999999</v>
      </c>
      <c r="BT25" s="43">
        <f t="shared" si="89"/>
        <v>0.17905379419160791</v>
      </c>
      <c r="BU25" s="43">
        <f t="shared" si="89"/>
        <v>0.12082098647301148</v>
      </c>
      <c r="BV25" s="43">
        <f t="shared" si="39"/>
        <v>4.2579256684049334E-2</v>
      </c>
      <c r="BW25" s="43">
        <f t="shared" si="40"/>
        <v>1.3227381839251718E-2</v>
      </c>
      <c r="BX25" s="44" t="str">
        <f t="shared" si="41"/>
        <v>Compression Controls</v>
      </c>
      <c r="BY25" s="44" t="str">
        <f t="shared" si="42"/>
        <v>Compression Controls</v>
      </c>
      <c r="BZ25" s="43">
        <f t="shared" si="43"/>
        <v>3217.6240610347086</v>
      </c>
      <c r="CA25" s="43">
        <f t="shared" si="44"/>
        <v>3507.7805472928962</v>
      </c>
      <c r="CB25" s="43">
        <f t="shared" si="45"/>
        <v>4180.1480000000001</v>
      </c>
      <c r="CC25" s="43">
        <f t="shared" si="46"/>
        <v>2173.6769600000002</v>
      </c>
      <c r="CD25" s="51" t="str">
        <f t="shared" si="47"/>
        <v xml:space="preserve">Safe </v>
      </c>
      <c r="CE25" s="9"/>
      <c r="CF25" s="4"/>
      <c r="CG25" s="43">
        <f t="shared" si="48"/>
        <v>385</v>
      </c>
      <c r="CH25" s="43">
        <f t="shared" si="49"/>
        <v>440</v>
      </c>
      <c r="CI25" s="43">
        <f t="shared" si="50"/>
        <v>232.57925668404931</v>
      </c>
      <c r="CJ25" s="52">
        <f t="shared" si="51"/>
        <v>15.34960619832799</v>
      </c>
      <c r="CK25" s="52">
        <f t="shared" si="52"/>
        <v>-6367.6534545286313</v>
      </c>
      <c r="CL25" s="52">
        <f t="shared" si="53"/>
        <v>134314.17236519454</v>
      </c>
      <c r="CM25" s="52">
        <f t="shared" si="54"/>
        <v>-86394000</v>
      </c>
      <c r="CN25" s="52">
        <f t="shared" si="55"/>
        <v>425.37635930485669</v>
      </c>
      <c r="CO25" s="53">
        <f t="shared" si="56"/>
        <v>3217.6240610347086</v>
      </c>
      <c r="CP25" s="18"/>
      <c r="CQ25" s="43">
        <f t="shared" si="57"/>
        <v>240</v>
      </c>
      <c r="CR25" s="43">
        <f t="shared" si="58"/>
        <v>103.22738183925171</v>
      </c>
      <c r="CS25" s="52">
        <f t="shared" si="59"/>
        <v>57.639745327121545</v>
      </c>
      <c r="CT25" s="52">
        <f t="shared" si="60"/>
        <v>-15767.077757018344</v>
      </c>
      <c r="CU25" s="52">
        <f t="shared" si="61"/>
        <v>117554.66555741763</v>
      </c>
      <c r="CV25" s="52">
        <f t="shared" si="62"/>
        <v>-47124000</v>
      </c>
      <c r="CW25" s="52">
        <f t="shared" si="63"/>
        <v>276.8454825715753</v>
      </c>
      <c r="CX25" s="53">
        <f t="shared" si="64"/>
        <v>3507.7805472928962</v>
      </c>
      <c r="CY25" s="18"/>
      <c r="CZ25" s="52">
        <f t="shared" si="65"/>
        <v>3570</v>
      </c>
      <c r="DA25" s="52">
        <f t="shared" si="66"/>
        <v>-1480984.1072758879</v>
      </c>
      <c r="DB25" s="54">
        <f t="shared" si="67"/>
        <v>-60095183.728995942</v>
      </c>
      <c r="DC25" s="54">
        <f t="shared" si="68"/>
        <v>452.07713410879217</v>
      </c>
      <c r="DD25" s="52">
        <f t="shared" si="69"/>
        <v>532.3124358848105</v>
      </c>
      <c r="DE25" s="52">
        <f t="shared" si="70"/>
        <v>-60095183.728995942</v>
      </c>
      <c r="DF25" s="52">
        <f t="shared" si="71"/>
        <v>452.07713410879217</v>
      </c>
      <c r="DG25" s="53">
        <f t="shared" si="72"/>
        <v>3218.6677375367763</v>
      </c>
      <c r="DH25" s="18"/>
      <c r="DI25" s="52">
        <f t="shared" si="73"/>
        <v>5950</v>
      </c>
      <c r="DJ25" s="52">
        <f t="shared" si="74"/>
        <v>-1627594.1561129047</v>
      </c>
      <c r="DK25" s="52">
        <f t="shared" si="75"/>
        <v>-28402532.49979306</v>
      </c>
      <c r="DL25" s="52">
        <f t="shared" si="76"/>
        <v>290.00539517813661</v>
      </c>
      <c r="DM25" s="52">
        <f t="shared" si="77"/>
        <v>317.20966686267309</v>
      </c>
      <c r="DN25" s="52">
        <f t="shared" si="78"/>
        <v>-25364311.54611434</v>
      </c>
      <c r="DO25" s="52">
        <f t="shared" si="79"/>
        <v>288.33006133690674</v>
      </c>
      <c r="DP25" s="53">
        <f t="shared" si="80"/>
        <v>3382.3904516513194</v>
      </c>
      <c r="DT25" s="41" t="str">
        <f t="shared" si="84"/>
        <v>C228</v>
      </c>
      <c r="DU25" s="55">
        <f t="shared" si="85"/>
        <v>10</v>
      </c>
      <c r="DV25" s="56" t="str">
        <f t="shared" si="86"/>
        <v>φ</v>
      </c>
      <c r="DW25" s="57">
        <f t="shared" si="87"/>
        <v>14</v>
      </c>
    </row>
    <row r="26" spans="1:256" ht="15.75" customHeight="1" thickTop="1" thickBot="1" x14ac:dyDescent="0.3">
      <c r="A26" s="42" t="s">
        <v>142</v>
      </c>
      <c r="B26" s="178" t="s">
        <v>173</v>
      </c>
      <c r="C26" s="93">
        <v>30</v>
      </c>
      <c r="D26" s="43">
        <v>200</v>
      </c>
      <c r="E26" s="43">
        <v>500</v>
      </c>
      <c r="F26" s="42">
        <v>2900</v>
      </c>
      <c r="G26" s="95">
        <v>624.37</v>
      </c>
      <c r="H26" s="95">
        <v>-47.34</v>
      </c>
      <c r="I26" s="95">
        <v>69.010000000000005</v>
      </c>
      <c r="J26" s="95">
        <v>10.69</v>
      </c>
      <c r="K26" s="95">
        <v>2.86</v>
      </c>
      <c r="L26" s="43">
        <f t="shared" si="0"/>
        <v>17.399999999999999</v>
      </c>
      <c r="M26" s="43">
        <f t="shared" si="1"/>
        <v>42.231850456455589</v>
      </c>
      <c r="N26" s="44" t="str">
        <f t="shared" si="2"/>
        <v>sho.col</v>
      </c>
      <c r="O26" s="45"/>
      <c r="P26" s="46">
        <f t="shared" si="3"/>
        <v>47.34</v>
      </c>
      <c r="Q26" s="46">
        <f t="shared" si="4"/>
        <v>69.010000000000005</v>
      </c>
      <c r="R26" s="46">
        <f t="shared" si="5"/>
        <v>10.69</v>
      </c>
      <c r="S26" s="46">
        <f t="shared" si="6"/>
        <v>2.86</v>
      </c>
      <c r="U26" s="289"/>
      <c r="V26" s="298"/>
      <c r="W26" s="15" t="s">
        <v>97</v>
      </c>
      <c r="X26" s="43">
        <v>600</v>
      </c>
      <c r="Y26" s="43">
        <v>0</v>
      </c>
      <c r="Z26" s="295"/>
      <c r="AA26" s="295"/>
      <c r="AB26" s="295"/>
      <c r="AC26" s="295"/>
      <c r="AD26" s="293"/>
      <c r="AE26" s="293"/>
      <c r="AF26" s="70"/>
      <c r="AJ26" s="306" t="str">
        <f t="shared" si="7"/>
        <v>C236</v>
      </c>
      <c r="AK26" s="307"/>
      <c r="AL26" s="43">
        <v>200</v>
      </c>
      <c r="AM26" s="43">
        <v>500</v>
      </c>
      <c r="AN26" s="43">
        <f t="shared" si="8"/>
        <v>440</v>
      </c>
      <c r="AO26" s="43">
        <f t="shared" si="9"/>
        <v>624.37</v>
      </c>
      <c r="AP26" s="43">
        <f t="shared" si="10"/>
        <v>47.34</v>
      </c>
      <c r="AQ26" s="43">
        <f t="shared" si="11"/>
        <v>10.69</v>
      </c>
      <c r="AR26" s="43">
        <f t="shared" si="12"/>
        <v>61.730384615384622</v>
      </c>
      <c r="AS26" s="43">
        <f t="shared" si="13"/>
        <v>20.886307692307689</v>
      </c>
      <c r="AT26" s="43">
        <f t="shared" si="14"/>
        <v>61.730384615384622</v>
      </c>
      <c r="AU26" s="43">
        <f t="shared" si="15"/>
        <v>9.8868274605417653E-2</v>
      </c>
      <c r="AV26" s="44" t="str">
        <f t="shared" si="16"/>
        <v>Compression</v>
      </c>
      <c r="AW26" s="43">
        <f t="shared" si="17"/>
        <v>1000</v>
      </c>
      <c r="AX26" s="43">
        <f t="shared" si="18"/>
        <v>250</v>
      </c>
      <c r="AY26" s="43">
        <f t="shared" si="19"/>
        <v>0.01</v>
      </c>
      <c r="AZ26" s="47">
        <f t="shared" si="20"/>
        <v>8</v>
      </c>
      <c r="BA26" s="48" t="s">
        <v>65</v>
      </c>
      <c r="BB26" s="49">
        <v>14</v>
      </c>
      <c r="BC26" s="95">
        <v>35.26</v>
      </c>
      <c r="BD26" s="43">
        <f t="shared" si="21"/>
        <v>61.734197258173779</v>
      </c>
      <c r="BE26" s="43">
        <f t="shared" si="22"/>
        <v>-14.720863924840453</v>
      </c>
      <c r="BF26" s="43">
        <f t="shared" si="23"/>
        <v>100</v>
      </c>
      <c r="BG26" s="43">
        <f t="shared" si="24"/>
        <v>500</v>
      </c>
      <c r="BH26" s="44">
        <f t="shared" si="25"/>
        <v>100</v>
      </c>
      <c r="BI26" s="50" t="str">
        <f t="shared" si="26"/>
        <v>Use Φ10@100mm</v>
      </c>
      <c r="BJ26" s="43">
        <f t="shared" si="27"/>
        <v>200</v>
      </c>
      <c r="BK26" s="43">
        <f t="shared" si="28"/>
        <v>500</v>
      </c>
      <c r="BL26" s="43">
        <f t="shared" si="29"/>
        <v>220</v>
      </c>
      <c r="BM26" s="43">
        <f t="shared" si="30"/>
        <v>70</v>
      </c>
      <c r="BN26" s="43">
        <f t="shared" si="88"/>
        <v>460.90909090909082</v>
      </c>
      <c r="BO26" s="43">
        <f t="shared" si="88"/>
        <v>162.85714285714292</v>
      </c>
      <c r="BP26" s="43">
        <f t="shared" si="33"/>
        <v>1039.8696</v>
      </c>
      <c r="BQ26" s="43">
        <f t="shared" si="34"/>
        <v>746.46960000000001</v>
      </c>
      <c r="BR26" s="43">
        <f t="shared" si="35"/>
        <v>194.37202400000001</v>
      </c>
      <c r="BS26" s="43">
        <f t="shared" si="36"/>
        <v>34.023783999999999</v>
      </c>
      <c r="BT26" s="43">
        <f t="shared" si="89"/>
        <v>0.18691961376695695</v>
      </c>
      <c r="BU26" s="43">
        <f t="shared" si="89"/>
        <v>4.5579597615227729E-2</v>
      </c>
      <c r="BV26" s="43">
        <f t="shared" si="39"/>
        <v>7.5820426990406337E-2</v>
      </c>
      <c r="BW26" s="43">
        <f t="shared" si="40"/>
        <v>1.712125822829412E-2</v>
      </c>
      <c r="BX26" s="44" t="str">
        <f t="shared" si="41"/>
        <v>Compression Controls</v>
      </c>
      <c r="BY26" s="44" t="str">
        <f t="shared" si="42"/>
        <v>Compression Controls</v>
      </c>
      <c r="BZ26" s="43">
        <f t="shared" si="43"/>
        <v>1858.3425561151223</v>
      </c>
      <c r="CA26" s="43">
        <f t="shared" si="44"/>
        <v>2144.383752764802</v>
      </c>
      <c r="CB26" s="43">
        <f t="shared" si="45"/>
        <v>2868.1183999999998</v>
      </c>
      <c r="CC26" s="43">
        <f t="shared" si="46"/>
        <v>991.17439732098796</v>
      </c>
      <c r="CD26" s="51" t="str">
        <f t="shared" si="47"/>
        <v xml:space="preserve">Safe </v>
      </c>
      <c r="CE26" s="9"/>
      <c r="CF26" s="4"/>
      <c r="CG26" s="43">
        <f t="shared" si="48"/>
        <v>308</v>
      </c>
      <c r="CH26" s="43">
        <f t="shared" si="49"/>
        <v>440</v>
      </c>
      <c r="CI26" s="43">
        <f t="shared" si="50"/>
        <v>265.8204269904063</v>
      </c>
      <c r="CJ26" s="52">
        <f t="shared" si="51"/>
        <v>8.9534127491484927</v>
      </c>
      <c r="CK26" s="52">
        <f t="shared" si="52"/>
        <v>-3119.0032192506733</v>
      </c>
      <c r="CL26" s="52">
        <f t="shared" si="53"/>
        <v>132383.83401801405</v>
      </c>
      <c r="CM26" s="52">
        <f t="shared" si="54"/>
        <v>-69115200</v>
      </c>
      <c r="CN26" s="52">
        <f t="shared" si="55"/>
        <v>365.65740151720291</v>
      </c>
      <c r="CO26" s="53">
        <f t="shared" si="56"/>
        <v>1858.3425561151223</v>
      </c>
      <c r="CP26" s="18"/>
      <c r="CQ26" s="43">
        <f t="shared" si="57"/>
        <v>140</v>
      </c>
      <c r="CR26" s="43">
        <f t="shared" si="58"/>
        <v>57.121258228294124</v>
      </c>
      <c r="CS26" s="52">
        <f t="shared" si="59"/>
        <v>104.16437215405665</v>
      </c>
      <c r="CT26" s="52">
        <f t="shared" si="60"/>
        <v>-17266.024203135861</v>
      </c>
      <c r="CU26" s="52">
        <f t="shared" si="61"/>
        <v>135923.56076355401</v>
      </c>
      <c r="CV26" s="52">
        <f t="shared" si="62"/>
        <v>-21991200</v>
      </c>
      <c r="CW26" s="52">
        <f t="shared" si="63"/>
        <v>165.57726773590483</v>
      </c>
      <c r="CX26" s="53">
        <f t="shared" si="64"/>
        <v>2144.383752764802</v>
      </c>
      <c r="CY26" s="18"/>
      <c r="CZ26" s="52">
        <f t="shared" si="65"/>
        <v>2380</v>
      </c>
      <c r="DA26" s="52">
        <f t="shared" si="66"/>
        <v>-829094.76752566604</v>
      </c>
      <c r="DB26" s="54">
        <f t="shared" si="67"/>
        <v>-48319818.058010474</v>
      </c>
      <c r="DC26" s="54">
        <f t="shared" si="68"/>
        <v>399.21505513628779</v>
      </c>
      <c r="DD26" s="52">
        <f t="shared" si="69"/>
        <v>523.34958412439255</v>
      </c>
      <c r="DE26" s="52">
        <f t="shared" si="70"/>
        <v>-48319818.058010474</v>
      </c>
      <c r="DF26" s="52">
        <f t="shared" si="71"/>
        <v>399.21505513628779</v>
      </c>
      <c r="DG26" s="53">
        <f t="shared" si="72"/>
        <v>1892.9332624487299</v>
      </c>
      <c r="DH26" s="18"/>
      <c r="DI26" s="52">
        <f t="shared" si="73"/>
        <v>5950</v>
      </c>
      <c r="DJ26" s="52">
        <f t="shared" si="74"/>
        <v>-986257.02708329994</v>
      </c>
      <c r="DK26" s="52">
        <f t="shared" si="75"/>
        <v>-10181089.671316687</v>
      </c>
      <c r="DL26" s="52">
        <f t="shared" si="76"/>
        <v>175.50699526622785</v>
      </c>
      <c r="DM26" s="52">
        <f t="shared" si="77"/>
        <v>187.12770522703229</v>
      </c>
      <c r="DN26" s="52">
        <f t="shared" si="78"/>
        <v>-8540119.5411649346</v>
      </c>
      <c r="DO26" s="52">
        <f t="shared" si="79"/>
        <v>174.00612539627971</v>
      </c>
      <c r="DP26" s="53">
        <f t="shared" si="80"/>
        <v>1991.6178254256547</v>
      </c>
      <c r="DT26" s="41" t="str">
        <f t="shared" si="84"/>
        <v>C236</v>
      </c>
      <c r="DU26" s="55">
        <f t="shared" si="85"/>
        <v>8</v>
      </c>
      <c r="DV26" s="56" t="str">
        <f t="shared" si="86"/>
        <v>φ</v>
      </c>
      <c r="DW26" s="57">
        <f t="shared" si="87"/>
        <v>14</v>
      </c>
    </row>
    <row r="27" spans="1:256" ht="15" customHeight="1" thickTop="1" thickBot="1" x14ac:dyDescent="0.3">
      <c r="A27" s="42" t="s">
        <v>142</v>
      </c>
      <c r="B27" s="178" t="s">
        <v>174</v>
      </c>
      <c r="C27" s="93">
        <v>33</v>
      </c>
      <c r="D27" s="43">
        <v>300</v>
      </c>
      <c r="E27" s="43">
        <v>500</v>
      </c>
      <c r="F27" s="42">
        <v>2900</v>
      </c>
      <c r="G27" s="95">
        <v>597.16999999999996</v>
      </c>
      <c r="H27" s="95">
        <v>16.190000000000001</v>
      </c>
      <c r="I27" s="95">
        <v>6.15</v>
      </c>
      <c r="J27" s="95">
        <v>0.45</v>
      </c>
      <c r="K27" s="95">
        <v>0.16</v>
      </c>
      <c r="L27" s="43">
        <f t="shared" si="0"/>
        <v>17.399999999999999</v>
      </c>
      <c r="M27" s="43">
        <f t="shared" si="1"/>
        <v>29.441630636195182</v>
      </c>
      <c r="N27" s="44" t="str">
        <f t="shared" si="2"/>
        <v>sho.col</v>
      </c>
      <c r="O27" s="45"/>
      <c r="P27" s="46">
        <f t="shared" si="3"/>
        <v>16.190000000000001</v>
      </c>
      <c r="Q27" s="46">
        <f t="shared" si="4"/>
        <v>6.15</v>
      </c>
      <c r="R27" s="46">
        <f t="shared" si="5"/>
        <v>0.45</v>
      </c>
      <c r="S27" s="46">
        <f t="shared" si="6"/>
        <v>0.16</v>
      </c>
      <c r="U27" s="289"/>
      <c r="V27" s="298"/>
      <c r="W27" s="15" t="s">
        <v>98</v>
      </c>
      <c r="X27" s="43">
        <v>5200</v>
      </c>
      <c r="Y27" s="43">
        <v>0</v>
      </c>
      <c r="Z27" s="292">
        <v>0</v>
      </c>
      <c r="AA27" s="292">
        <v>0</v>
      </c>
      <c r="AB27" s="292">
        <v>0</v>
      </c>
      <c r="AC27" s="292">
        <v>0</v>
      </c>
      <c r="AD27" s="293"/>
      <c r="AE27" s="293"/>
      <c r="AF27" s="70"/>
      <c r="AJ27" s="306" t="str">
        <f t="shared" si="7"/>
        <v>C220</v>
      </c>
      <c r="AK27" s="307"/>
      <c r="AL27" s="43">
        <v>300</v>
      </c>
      <c r="AM27" s="43">
        <v>500</v>
      </c>
      <c r="AN27" s="43">
        <f t="shared" si="8"/>
        <v>440</v>
      </c>
      <c r="AO27" s="43">
        <f t="shared" si="9"/>
        <v>597.16999999999996</v>
      </c>
      <c r="AP27" s="43">
        <f t="shared" si="10"/>
        <v>16.190000000000001</v>
      </c>
      <c r="AQ27" s="43">
        <f t="shared" si="11"/>
        <v>0.45</v>
      </c>
      <c r="AR27" s="43">
        <f t="shared" si="12"/>
        <v>16.593846153846155</v>
      </c>
      <c r="AS27" s="43">
        <f t="shared" si="13"/>
        <v>5.6806153846153844</v>
      </c>
      <c r="AT27" s="43">
        <f t="shared" si="14"/>
        <v>16.593846153846155</v>
      </c>
      <c r="AU27" s="43">
        <f t="shared" si="15"/>
        <v>2.7787474511188029E-2</v>
      </c>
      <c r="AV27" s="44" t="str">
        <f t="shared" si="16"/>
        <v>Compression</v>
      </c>
      <c r="AW27" s="43">
        <f t="shared" si="17"/>
        <v>1500</v>
      </c>
      <c r="AX27" s="43">
        <f t="shared" si="18"/>
        <v>375</v>
      </c>
      <c r="AY27" s="43">
        <f t="shared" si="19"/>
        <v>0.01</v>
      </c>
      <c r="AZ27" s="47">
        <f t="shared" si="20"/>
        <v>10</v>
      </c>
      <c r="BA27" s="48" t="s">
        <v>65</v>
      </c>
      <c r="BB27" s="49">
        <v>14</v>
      </c>
      <c r="BC27" s="95">
        <v>3.04</v>
      </c>
      <c r="BD27" s="43">
        <f t="shared" si="21"/>
        <v>105.83005244258362</v>
      </c>
      <c r="BE27" s="43">
        <f t="shared" si="22"/>
        <v>-101.77671910925028</v>
      </c>
      <c r="BF27" s="43">
        <f t="shared" si="23"/>
        <v>110</v>
      </c>
      <c r="BG27" s="43">
        <f t="shared" si="24"/>
        <v>500</v>
      </c>
      <c r="BH27" s="44" t="str">
        <f t="shared" si="25"/>
        <v>No Need Shear Reinf.</v>
      </c>
      <c r="BI27" s="50" t="str">
        <f t="shared" si="26"/>
        <v>Use Φ10@110mm</v>
      </c>
      <c r="BJ27" s="43">
        <f t="shared" si="27"/>
        <v>300</v>
      </c>
      <c r="BK27" s="43">
        <f t="shared" si="28"/>
        <v>500</v>
      </c>
      <c r="BL27" s="43">
        <f t="shared" si="29"/>
        <v>220</v>
      </c>
      <c r="BM27" s="43">
        <f t="shared" si="30"/>
        <v>120</v>
      </c>
      <c r="BN27" s="43">
        <f t="shared" si="88"/>
        <v>460.90909090909082</v>
      </c>
      <c r="BO27" s="43">
        <f t="shared" si="88"/>
        <v>345.00000000000006</v>
      </c>
      <c r="BP27" s="43">
        <f t="shared" si="33"/>
        <v>1561.6369999999999</v>
      </c>
      <c r="BQ27" s="43">
        <f t="shared" si="34"/>
        <v>1389.962</v>
      </c>
      <c r="BR27" s="43">
        <f t="shared" si="35"/>
        <v>279.61703</v>
      </c>
      <c r="BS27" s="43">
        <f t="shared" si="36"/>
        <v>167.93657999999999</v>
      </c>
      <c r="BT27" s="43">
        <f t="shared" si="89"/>
        <v>0.17905379419160791</v>
      </c>
      <c r="BU27" s="43">
        <f t="shared" si="89"/>
        <v>0.12082098647301148</v>
      </c>
      <c r="BV27" s="43">
        <f t="shared" si="39"/>
        <v>2.7111207863757394E-2</v>
      </c>
      <c r="BW27" s="43">
        <f t="shared" si="40"/>
        <v>7.5355426427985335E-4</v>
      </c>
      <c r="BX27" s="44" t="str">
        <f t="shared" si="41"/>
        <v>Compression Controls</v>
      </c>
      <c r="BY27" s="44" t="str">
        <f t="shared" si="42"/>
        <v>Compression Controls</v>
      </c>
      <c r="BZ27" s="43">
        <f t="shared" si="43"/>
        <v>3446.4106414516359</v>
      </c>
      <c r="CA27" s="43">
        <f t="shared" si="44"/>
        <v>3824.680695704295</v>
      </c>
      <c r="CB27" s="43">
        <f t="shared" si="45"/>
        <v>4180.1480000000001</v>
      </c>
      <c r="CC27" s="43">
        <f t="shared" si="46"/>
        <v>2173.6769600000002</v>
      </c>
      <c r="CD27" s="51" t="str">
        <f t="shared" si="47"/>
        <v xml:space="preserve">Safe </v>
      </c>
      <c r="CE27" s="9"/>
      <c r="CF27" s="4"/>
      <c r="CG27" s="43">
        <f t="shared" si="48"/>
        <v>385</v>
      </c>
      <c r="CH27" s="43">
        <f t="shared" si="49"/>
        <v>440</v>
      </c>
      <c r="CI27" s="43">
        <f t="shared" si="50"/>
        <v>217.11120786375739</v>
      </c>
      <c r="CJ27" s="52">
        <f t="shared" si="51"/>
        <v>16.443186121649983</v>
      </c>
      <c r="CK27" s="52">
        <f t="shared" si="52"/>
        <v>-7330.0037870519845</v>
      </c>
      <c r="CL27" s="52">
        <f t="shared" si="53"/>
        <v>116558.33698977958</v>
      </c>
      <c r="CM27" s="52">
        <f t="shared" si="54"/>
        <v>-86394000</v>
      </c>
      <c r="CN27" s="52">
        <f t="shared" si="55"/>
        <v>455.53601436266104</v>
      </c>
      <c r="CO27" s="53">
        <f t="shared" si="56"/>
        <v>3446.4106414516359</v>
      </c>
      <c r="CP27" s="18"/>
      <c r="CQ27" s="43">
        <f t="shared" si="57"/>
        <v>240</v>
      </c>
      <c r="CR27" s="43">
        <f t="shared" si="58"/>
        <v>90.753554264279842</v>
      </c>
      <c r="CS27" s="52">
        <f t="shared" si="59"/>
        <v>65.562170520321885</v>
      </c>
      <c r="CT27" s="52">
        <f t="shared" si="60"/>
        <v>-19569.841849754506</v>
      </c>
      <c r="CU27" s="52">
        <f t="shared" si="61"/>
        <v>80996.121875882207</v>
      </c>
      <c r="CV27" s="52">
        <f t="shared" si="62"/>
        <v>-47124000</v>
      </c>
      <c r="CW27" s="52">
        <f t="shared" si="63"/>
        <v>302.27250082879021</v>
      </c>
      <c r="CX27" s="53">
        <f t="shared" si="64"/>
        <v>3824.680695704295</v>
      </c>
      <c r="CY27" s="18"/>
      <c r="CZ27" s="52">
        <f t="shared" si="65"/>
        <v>3570</v>
      </c>
      <c r="DA27" s="52">
        <f t="shared" si="66"/>
        <v>-1591425.9758527724</v>
      </c>
      <c r="DB27" s="54">
        <f t="shared" si="67"/>
        <v>-59953449.997655615</v>
      </c>
      <c r="DC27" s="54">
        <f t="shared" si="68"/>
        <v>480.71256360172606</v>
      </c>
      <c r="DD27" s="52">
        <f t="shared" si="69"/>
        <v>536.34449707174213</v>
      </c>
      <c r="DE27" s="52">
        <f t="shared" si="70"/>
        <v>-59953449.997655615</v>
      </c>
      <c r="DF27" s="52">
        <f t="shared" si="71"/>
        <v>480.71256360172606</v>
      </c>
      <c r="DG27" s="53">
        <f t="shared" si="72"/>
        <v>3423.1247041163238</v>
      </c>
      <c r="DH27" s="18"/>
      <c r="DI27" s="52">
        <f t="shared" si="73"/>
        <v>5950</v>
      </c>
      <c r="DJ27" s="52">
        <f t="shared" si="74"/>
        <v>-1776032.7042550698</v>
      </c>
      <c r="DK27" s="52">
        <f t="shared" si="75"/>
        <v>-28288234.817723595</v>
      </c>
      <c r="DL27" s="52">
        <f t="shared" si="76"/>
        <v>313.65090657603497</v>
      </c>
      <c r="DM27" s="52">
        <f t="shared" si="77"/>
        <v>327.82697162079148</v>
      </c>
      <c r="DN27" s="52">
        <f t="shared" si="78"/>
        <v>-25121180.475139916</v>
      </c>
      <c r="DO27" s="52">
        <f t="shared" si="79"/>
        <v>312.02405077838029</v>
      </c>
      <c r="DP27" s="53">
        <f t="shared" si="80"/>
        <v>3668.4365883367304</v>
      </c>
      <c r="DT27" s="41" t="str">
        <f t="shared" si="84"/>
        <v>C220</v>
      </c>
      <c r="DU27" s="55">
        <f t="shared" si="85"/>
        <v>10</v>
      </c>
      <c r="DV27" s="56" t="str">
        <f t="shared" si="86"/>
        <v>φ</v>
      </c>
      <c r="DW27" s="57">
        <f t="shared" si="87"/>
        <v>14</v>
      </c>
    </row>
    <row r="28" spans="1:256" ht="15.75" customHeight="1" thickTop="1" thickBot="1" x14ac:dyDescent="0.3">
      <c r="A28" s="42" t="s">
        <v>142</v>
      </c>
      <c r="B28" s="178" t="s">
        <v>175</v>
      </c>
      <c r="C28" s="93">
        <v>19</v>
      </c>
      <c r="D28" s="43">
        <v>300</v>
      </c>
      <c r="E28" s="43">
        <v>500</v>
      </c>
      <c r="F28" s="42">
        <v>2900</v>
      </c>
      <c r="G28" s="95">
        <v>668.73</v>
      </c>
      <c r="H28" s="95">
        <v>15.31</v>
      </c>
      <c r="I28" s="95">
        <v>0.11</v>
      </c>
      <c r="J28" s="95">
        <v>0.44</v>
      </c>
      <c r="K28" s="95">
        <v>0.18</v>
      </c>
      <c r="L28" s="43">
        <f t="shared" si="0"/>
        <v>17.399999999999999</v>
      </c>
      <c r="M28" s="43">
        <f t="shared" si="1"/>
        <v>33.913781841933378</v>
      </c>
      <c r="N28" s="44" t="str">
        <f t="shared" si="2"/>
        <v>sho.col</v>
      </c>
      <c r="O28" s="45"/>
      <c r="P28" s="46">
        <f t="shared" si="3"/>
        <v>15.31</v>
      </c>
      <c r="Q28" s="46">
        <f t="shared" si="4"/>
        <v>0.11</v>
      </c>
      <c r="R28" s="46">
        <f t="shared" si="5"/>
        <v>0.44</v>
      </c>
      <c r="S28" s="46">
        <f t="shared" si="6"/>
        <v>0.18</v>
      </c>
      <c r="U28" s="288" t="s">
        <v>10</v>
      </c>
      <c r="V28" s="300"/>
      <c r="W28" s="15" t="s">
        <v>97</v>
      </c>
      <c r="X28" s="43">
        <v>0</v>
      </c>
      <c r="Y28" s="43">
        <v>600</v>
      </c>
      <c r="Z28" s="295"/>
      <c r="AA28" s="295"/>
      <c r="AB28" s="295"/>
      <c r="AC28" s="295"/>
      <c r="AD28" s="292"/>
      <c r="AE28" s="292">
        <f>MIN(MIN(1,(0.7+0.05*(AD28+AD32))),MIN(1,(0.85+0.05*MIN(AD28,AD32))))</f>
        <v>0.7</v>
      </c>
      <c r="AJ28" s="306" t="str">
        <f t="shared" si="7"/>
        <v>C221</v>
      </c>
      <c r="AK28" s="307"/>
      <c r="AL28" s="43">
        <v>300</v>
      </c>
      <c r="AM28" s="43">
        <v>500</v>
      </c>
      <c r="AN28" s="43">
        <f t="shared" si="8"/>
        <v>440</v>
      </c>
      <c r="AO28" s="43">
        <f t="shared" si="9"/>
        <v>668.73</v>
      </c>
      <c r="AP28" s="43">
        <f t="shared" si="10"/>
        <v>15.31</v>
      </c>
      <c r="AQ28" s="43">
        <f t="shared" si="11"/>
        <v>0.44</v>
      </c>
      <c r="AR28" s="43">
        <f t="shared" si="12"/>
        <v>15.704871794871796</v>
      </c>
      <c r="AS28" s="43">
        <f t="shared" si="13"/>
        <v>5.3863076923076925</v>
      </c>
      <c r="AT28" s="43">
        <f t="shared" si="14"/>
        <v>15.704871794871796</v>
      </c>
      <c r="AU28" s="43">
        <f t="shared" si="15"/>
        <v>2.3484622784788772E-2</v>
      </c>
      <c r="AV28" s="44" t="str">
        <f t="shared" si="16"/>
        <v>Compression</v>
      </c>
      <c r="AW28" s="43">
        <f t="shared" si="17"/>
        <v>1500</v>
      </c>
      <c r="AX28" s="43">
        <f t="shared" si="18"/>
        <v>375</v>
      </c>
      <c r="AY28" s="43">
        <f t="shared" si="19"/>
        <v>0.01</v>
      </c>
      <c r="AZ28" s="47">
        <f t="shared" si="20"/>
        <v>10</v>
      </c>
      <c r="BA28" s="48" t="s">
        <v>65</v>
      </c>
      <c r="BB28" s="49">
        <v>14</v>
      </c>
      <c r="BC28" s="95">
        <v>4.6100000000000003</v>
      </c>
      <c r="BD28" s="43">
        <f t="shared" si="21"/>
        <v>105.83005244258362</v>
      </c>
      <c r="BE28" s="43">
        <f t="shared" si="22"/>
        <v>-99.68338577591696</v>
      </c>
      <c r="BF28" s="43">
        <f t="shared" si="23"/>
        <v>110</v>
      </c>
      <c r="BG28" s="43">
        <f t="shared" si="24"/>
        <v>500</v>
      </c>
      <c r="BH28" s="44" t="str">
        <f t="shared" si="25"/>
        <v>No Need Shear Reinf.</v>
      </c>
      <c r="BI28" s="50" t="str">
        <f t="shared" si="26"/>
        <v>Use Φ10@110mm</v>
      </c>
      <c r="BJ28" s="43">
        <f t="shared" si="27"/>
        <v>300</v>
      </c>
      <c r="BK28" s="43">
        <f t="shared" si="28"/>
        <v>500</v>
      </c>
      <c r="BL28" s="43">
        <f t="shared" si="29"/>
        <v>220</v>
      </c>
      <c r="BM28" s="43">
        <f t="shared" si="30"/>
        <v>120</v>
      </c>
      <c r="BN28" s="43">
        <f t="shared" ref="BN28:BO30" si="90">600*(BL28/0.85-60)*0.85/BL28</f>
        <v>460.90909090909082</v>
      </c>
      <c r="BO28" s="43">
        <f t="shared" si="90"/>
        <v>345.00000000000006</v>
      </c>
      <c r="BP28" s="43">
        <f t="shared" si="33"/>
        <v>1561.6369999999999</v>
      </c>
      <c r="BQ28" s="43">
        <f t="shared" si="34"/>
        <v>1389.962</v>
      </c>
      <c r="BR28" s="43">
        <f t="shared" si="35"/>
        <v>279.61703</v>
      </c>
      <c r="BS28" s="43">
        <f t="shared" si="36"/>
        <v>167.93657999999999</v>
      </c>
      <c r="BT28" s="43">
        <f t="shared" ref="BT28:BU30" si="91">BR28/BP28</f>
        <v>0.17905379419160791</v>
      </c>
      <c r="BU28" s="43">
        <f t="shared" si="91"/>
        <v>0.12082098647301148</v>
      </c>
      <c r="BV28" s="43">
        <f t="shared" si="39"/>
        <v>2.2894142628564592E-2</v>
      </c>
      <c r="BW28" s="43">
        <f t="shared" si="40"/>
        <v>6.579636026497989E-4</v>
      </c>
      <c r="BX28" s="44" t="str">
        <f t="shared" ref="BX28:BY30" si="92">IF(BT28&gt;BV28,"Compression Controls","Tension Controls")</f>
        <v>Compression Controls</v>
      </c>
      <c r="BY28" s="44" t="str">
        <f t="shared" si="92"/>
        <v>Compression Controls</v>
      </c>
      <c r="BZ28" s="43">
        <f t="shared" si="43"/>
        <v>3509.1855700183346</v>
      </c>
      <c r="CA28" s="43">
        <f t="shared" si="44"/>
        <v>3827.1109408080461</v>
      </c>
      <c r="CB28" s="43">
        <f t="shared" si="45"/>
        <v>4180.1480000000001</v>
      </c>
      <c r="CC28" s="43">
        <f t="shared" si="46"/>
        <v>2173.6769600000002</v>
      </c>
      <c r="CD28" s="51" t="str">
        <f t="shared" si="47"/>
        <v xml:space="preserve">Safe </v>
      </c>
      <c r="CE28"/>
      <c r="CF28"/>
      <c r="CG28" s="43">
        <f t="shared" si="48"/>
        <v>385</v>
      </c>
      <c r="CH28" s="43">
        <f t="shared" si="49"/>
        <v>440</v>
      </c>
      <c r="CI28" s="43">
        <f t="shared" si="50"/>
        <v>212.89414262856457</v>
      </c>
      <c r="CJ28" s="52">
        <f t="shared" si="51"/>
        <v>16.768897236541459</v>
      </c>
      <c r="CK28" s="52">
        <f t="shared" si="52"/>
        <v>-7616.6295681564852</v>
      </c>
      <c r="CL28" s="52">
        <f t="shared" si="53"/>
        <v>111269.95082556768</v>
      </c>
      <c r="CM28" s="52">
        <f t="shared" si="54"/>
        <v>-86394000</v>
      </c>
      <c r="CN28" s="52">
        <f t="shared" si="55"/>
        <v>463.85182283972273</v>
      </c>
      <c r="CO28" s="53">
        <f t="shared" si="56"/>
        <v>3509.1855700183346</v>
      </c>
      <c r="CP28"/>
      <c r="CQ28" s="43">
        <f t="shared" si="57"/>
        <v>240</v>
      </c>
      <c r="CR28" s="43">
        <f t="shared" si="58"/>
        <v>90.657963602649801</v>
      </c>
      <c r="CS28" s="52">
        <f t="shared" si="59"/>
        <v>65.631299927258567</v>
      </c>
      <c r="CT28" s="52">
        <f t="shared" si="60"/>
        <v>-19603.02396508411</v>
      </c>
      <c r="CU28" s="52">
        <f t="shared" si="61"/>
        <v>80677.119754493557</v>
      </c>
      <c r="CV28" s="52">
        <f t="shared" si="62"/>
        <v>-47124000</v>
      </c>
      <c r="CW28" s="52">
        <f t="shared" si="63"/>
        <v>302.46824487396611</v>
      </c>
      <c r="CX28" s="53">
        <f t="shared" si="64"/>
        <v>3827.1109408080461</v>
      </c>
      <c r="CY28"/>
      <c r="CZ28" s="52">
        <f t="shared" si="65"/>
        <v>3570</v>
      </c>
      <c r="DA28" s="52">
        <f t="shared" si="66"/>
        <v>-1621535.821632049</v>
      </c>
      <c r="DB28" s="54">
        <f t="shared" si="67"/>
        <v>-59914809.028905541</v>
      </c>
      <c r="DC28" s="54">
        <f t="shared" si="68"/>
        <v>488.56317726203844</v>
      </c>
      <c r="DD28" s="52">
        <f t="shared" si="69"/>
        <v>537.36736327226754</v>
      </c>
      <c r="DE28" s="52">
        <f t="shared" si="70"/>
        <v>-59914809.028905541</v>
      </c>
      <c r="DF28" s="52">
        <f t="shared" si="71"/>
        <v>488.56317726203844</v>
      </c>
      <c r="DG28" s="53">
        <f t="shared" si="72"/>
        <v>3479.1780856509545</v>
      </c>
      <c r="DH28"/>
      <c r="DI28" s="52">
        <f t="shared" si="73"/>
        <v>5950</v>
      </c>
      <c r="DJ28" s="52">
        <f t="shared" si="74"/>
        <v>-1777170.2331284673</v>
      </c>
      <c r="DK28" s="52">
        <f t="shared" si="75"/>
        <v>-28287358.920491077</v>
      </c>
      <c r="DL28" s="52">
        <f t="shared" si="76"/>
        <v>313.83283190013174</v>
      </c>
      <c r="DM28" s="52">
        <f t="shared" si="77"/>
        <v>322.78261334357086</v>
      </c>
      <c r="DN28" s="52">
        <f t="shared" si="78"/>
        <v>-24943403.191102207</v>
      </c>
      <c r="DO28" s="52">
        <f t="shared" si="79"/>
        <v>312.11553681696415</v>
      </c>
      <c r="DP28" s="53">
        <f t="shared" si="80"/>
        <v>3667.5831942591485</v>
      </c>
      <c r="DT28" s="41" t="str">
        <f t="shared" si="84"/>
        <v>C221</v>
      </c>
      <c r="DU28" s="55">
        <f t="shared" si="85"/>
        <v>10</v>
      </c>
      <c r="DV28" s="56" t="str">
        <f t="shared" si="86"/>
        <v>φ</v>
      </c>
      <c r="DW28" s="57">
        <f t="shared" si="87"/>
        <v>14</v>
      </c>
    </row>
    <row r="29" spans="1:256" ht="15" customHeight="1" thickTop="1" thickBot="1" x14ac:dyDescent="0.3">
      <c r="A29" s="42" t="s">
        <v>142</v>
      </c>
      <c r="B29" s="178" t="s">
        <v>176</v>
      </c>
      <c r="C29" s="93">
        <v>10</v>
      </c>
      <c r="D29" s="43">
        <v>300</v>
      </c>
      <c r="E29" s="43">
        <v>500</v>
      </c>
      <c r="F29" s="42">
        <v>2900</v>
      </c>
      <c r="G29" s="95">
        <v>424.33</v>
      </c>
      <c r="H29" s="95">
        <v>26.5</v>
      </c>
      <c r="I29" s="95">
        <v>-13.32</v>
      </c>
      <c r="J29" s="95">
        <v>5.41</v>
      </c>
      <c r="K29" s="95">
        <v>-20.12</v>
      </c>
      <c r="L29" s="43">
        <f t="shared" si="0"/>
        <v>17.399999999999999</v>
      </c>
      <c r="M29" s="43">
        <f t="shared" si="1"/>
        <v>40.031698113207547</v>
      </c>
      <c r="N29" s="44" t="str">
        <f t="shared" si="2"/>
        <v>sho.col</v>
      </c>
      <c r="P29" s="46">
        <f t="shared" si="3"/>
        <v>26.5</v>
      </c>
      <c r="Q29" s="46">
        <f t="shared" si="4"/>
        <v>13.32</v>
      </c>
      <c r="R29" s="46">
        <f t="shared" si="5"/>
        <v>5.41</v>
      </c>
      <c r="S29" s="46">
        <f t="shared" si="6"/>
        <v>20.12</v>
      </c>
      <c r="U29" s="289"/>
      <c r="V29" s="298"/>
      <c r="W29" s="15" t="s">
        <v>98</v>
      </c>
      <c r="X29" s="43">
        <v>0</v>
      </c>
      <c r="Y29" s="43">
        <v>5200</v>
      </c>
      <c r="Z29" s="292">
        <f>D8</f>
        <v>200</v>
      </c>
      <c r="AA29" s="292">
        <f>E8</f>
        <v>500</v>
      </c>
      <c r="AB29" s="292">
        <f>F8</f>
        <v>1600</v>
      </c>
      <c r="AC29" s="292">
        <f>(Z29*AA29^3/12)/AB29</f>
        <v>1302083.3333333333</v>
      </c>
      <c r="AD29" s="293"/>
      <c r="AE29" s="293"/>
      <c r="AJ29" s="306" t="str">
        <f t="shared" si="7"/>
        <v>C225</v>
      </c>
      <c r="AK29" s="307"/>
      <c r="AL29" s="43">
        <v>300</v>
      </c>
      <c r="AM29" s="43">
        <v>500</v>
      </c>
      <c r="AN29" s="43">
        <f t="shared" si="8"/>
        <v>440</v>
      </c>
      <c r="AO29" s="43">
        <f t="shared" si="9"/>
        <v>424.33</v>
      </c>
      <c r="AP29" s="43">
        <f t="shared" si="10"/>
        <v>26.5</v>
      </c>
      <c r="AQ29" s="43">
        <f t="shared" si="11"/>
        <v>5.41</v>
      </c>
      <c r="AR29" s="43">
        <f t="shared" si="12"/>
        <v>31.355128205128207</v>
      </c>
      <c r="AS29" s="43">
        <f t="shared" si="13"/>
        <v>13.971538461538461</v>
      </c>
      <c r="AT29" s="43">
        <f t="shared" si="14"/>
        <v>31.355128205128207</v>
      </c>
      <c r="AU29" s="43">
        <f t="shared" si="15"/>
        <v>7.3893262802837908E-2</v>
      </c>
      <c r="AV29" s="44" t="str">
        <f t="shared" si="16"/>
        <v>Compression</v>
      </c>
      <c r="AW29" s="43">
        <f t="shared" si="17"/>
        <v>1500</v>
      </c>
      <c r="AX29" s="43">
        <f t="shared" si="18"/>
        <v>375</v>
      </c>
      <c r="AY29" s="43">
        <f t="shared" si="19"/>
        <v>0.01</v>
      </c>
      <c r="AZ29" s="47">
        <f t="shared" si="20"/>
        <v>10</v>
      </c>
      <c r="BA29" s="48" t="s">
        <v>65</v>
      </c>
      <c r="BB29" s="49">
        <v>14</v>
      </c>
      <c r="BC29" s="95">
        <v>12.07</v>
      </c>
      <c r="BD29" s="43">
        <f t="shared" si="21"/>
        <v>105.83005244258362</v>
      </c>
      <c r="BE29" s="43">
        <f t="shared" si="22"/>
        <v>-89.736719109250274</v>
      </c>
      <c r="BF29" s="43">
        <f t="shared" si="23"/>
        <v>110</v>
      </c>
      <c r="BG29" s="43">
        <f t="shared" si="24"/>
        <v>500</v>
      </c>
      <c r="BH29" s="44" t="str">
        <f t="shared" si="25"/>
        <v>No Need Shear Reinf.</v>
      </c>
      <c r="BI29" s="50" t="str">
        <f t="shared" si="26"/>
        <v>Use Φ10@110mm</v>
      </c>
      <c r="BJ29" s="43">
        <f t="shared" si="27"/>
        <v>300</v>
      </c>
      <c r="BK29" s="43">
        <f t="shared" si="28"/>
        <v>500</v>
      </c>
      <c r="BL29" s="43">
        <f t="shared" si="29"/>
        <v>220</v>
      </c>
      <c r="BM29" s="43">
        <f t="shared" si="30"/>
        <v>120</v>
      </c>
      <c r="BN29" s="43">
        <f t="shared" si="90"/>
        <v>460.90909090909082</v>
      </c>
      <c r="BO29" s="43">
        <f t="shared" si="90"/>
        <v>345.00000000000006</v>
      </c>
      <c r="BP29" s="43">
        <f t="shared" si="33"/>
        <v>1561.6369999999999</v>
      </c>
      <c r="BQ29" s="43">
        <f t="shared" si="34"/>
        <v>1389.962</v>
      </c>
      <c r="BR29" s="43">
        <f t="shared" si="35"/>
        <v>279.61703</v>
      </c>
      <c r="BS29" s="43">
        <f t="shared" si="36"/>
        <v>167.93657999999999</v>
      </c>
      <c r="BT29" s="43">
        <f t="shared" si="91"/>
        <v>0.17905379419160791</v>
      </c>
      <c r="BU29" s="43">
        <f t="shared" si="91"/>
        <v>0.12082098647301148</v>
      </c>
      <c r="BV29" s="43">
        <f t="shared" si="39"/>
        <v>6.2451393962246367E-2</v>
      </c>
      <c r="BW29" s="43">
        <f t="shared" si="40"/>
        <v>1.2749510993801994E-2</v>
      </c>
      <c r="BX29" s="44" t="str">
        <f t="shared" si="92"/>
        <v>Compression Controls</v>
      </c>
      <c r="BY29" s="44" t="str">
        <f t="shared" si="92"/>
        <v>Compression Controls</v>
      </c>
      <c r="BZ29" s="43">
        <f t="shared" si="43"/>
        <v>2928.6415331624917</v>
      </c>
      <c r="CA29" s="43">
        <f t="shared" si="44"/>
        <v>3519.9052993183332</v>
      </c>
      <c r="CB29" s="43">
        <f t="shared" si="45"/>
        <v>4180.1480000000001</v>
      </c>
      <c r="CC29" s="43">
        <f t="shared" si="46"/>
        <v>1682.5089394601941</v>
      </c>
      <c r="CD29" s="51" t="str">
        <f t="shared" si="47"/>
        <v xml:space="preserve">Safe </v>
      </c>
      <c r="CG29" s="43">
        <f t="shared" si="48"/>
        <v>385</v>
      </c>
      <c r="CH29" s="43">
        <f t="shared" si="49"/>
        <v>440</v>
      </c>
      <c r="CI29" s="43">
        <f t="shared" si="50"/>
        <v>252.45139396224636</v>
      </c>
      <c r="CJ29" s="52">
        <f t="shared" si="51"/>
        <v>14.141336056690132</v>
      </c>
      <c r="CK29" s="52">
        <f t="shared" si="52"/>
        <v>-5304.3757298873161</v>
      </c>
      <c r="CL29" s="52">
        <f t="shared" si="53"/>
        <v>153932.16759939771</v>
      </c>
      <c r="CM29" s="52">
        <f t="shared" si="54"/>
        <v>-86394000</v>
      </c>
      <c r="CN29" s="52">
        <f t="shared" si="55"/>
        <v>387.66938077994143</v>
      </c>
      <c r="CO29" s="53">
        <f t="shared" si="56"/>
        <v>2928.6415331624917</v>
      </c>
      <c r="CQ29" s="43">
        <f t="shared" si="57"/>
        <v>240</v>
      </c>
      <c r="CR29" s="43">
        <f t="shared" si="58"/>
        <v>102.74951099380201</v>
      </c>
      <c r="CS29" s="52">
        <f t="shared" si="59"/>
        <v>57.907818173060818</v>
      </c>
      <c r="CT29" s="52">
        <f t="shared" si="60"/>
        <v>-15895.75272306919</v>
      </c>
      <c r="CU29" s="52">
        <f t="shared" si="61"/>
        <v>116317.62606394084</v>
      </c>
      <c r="CV29" s="52">
        <f t="shared" si="62"/>
        <v>-47124000</v>
      </c>
      <c r="CW29" s="52">
        <f t="shared" si="63"/>
        <v>277.8144780208774</v>
      </c>
      <c r="CX29" s="53">
        <f t="shared" si="64"/>
        <v>3519.9052993183332</v>
      </c>
      <c r="CZ29" s="52">
        <f t="shared" si="65"/>
        <v>3570</v>
      </c>
      <c r="DA29" s="52">
        <f t="shared" si="66"/>
        <v>-1339097.047109561</v>
      </c>
      <c r="DB29" s="54">
        <f t="shared" si="67"/>
        <v>-60277272.122876063</v>
      </c>
      <c r="DC29" s="54">
        <f t="shared" si="68"/>
        <v>415.71273463182075</v>
      </c>
      <c r="DD29" s="52">
        <f t="shared" si="69"/>
        <v>526.39147793463405</v>
      </c>
      <c r="DE29" s="52">
        <f t="shared" si="70"/>
        <v>-60277272.122876063</v>
      </c>
      <c r="DF29" s="52">
        <f t="shared" si="71"/>
        <v>415.71273463182075</v>
      </c>
      <c r="DG29" s="53">
        <f t="shared" si="72"/>
        <v>2959.0259252711999</v>
      </c>
      <c r="DI29" s="52">
        <f t="shared" si="73"/>
        <v>5950</v>
      </c>
      <c r="DJ29" s="52">
        <f t="shared" si="74"/>
        <v>-1633280.8191737561</v>
      </c>
      <c r="DK29" s="52">
        <f t="shared" si="75"/>
        <v>-28398153.769236207</v>
      </c>
      <c r="DL29" s="52">
        <f t="shared" si="76"/>
        <v>290.90756071216691</v>
      </c>
      <c r="DM29" s="52">
        <f t="shared" si="77"/>
        <v>346.25962698685606</v>
      </c>
      <c r="DN29" s="52">
        <f t="shared" si="78"/>
        <v>-26205009.017451752</v>
      </c>
      <c r="DO29" s="52">
        <f t="shared" si="79"/>
        <v>289.70343233183814</v>
      </c>
      <c r="DP29" s="53">
        <f t="shared" si="80"/>
        <v>3409.9178011388135</v>
      </c>
      <c r="DT29" s="41" t="str">
        <f t="shared" si="84"/>
        <v>C225</v>
      </c>
      <c r="DU29" s="55">
        <f t="shared" si="85"/>
        <v>10</v>
      </c>
      <c r="DV29" s="56" t="str">
        <f t="shared" si="86"/>
        <v>φ</v>
      </c>
      <c r="DW29" s="57">
        <f t="shared" si="87"/>
        <v>14</v>
      </c>
    </row>
    <row r="30" spans="1:256" ht="16.5" customHeight="1" thickTop="1" thickBot="1" x14ac:dyDescent="0.3">
      <c r="A30" s="42" t="s">
        <v>142</v>
      </c>
      <c r="B30" s="178" t="s">
        <v>177</v>
      </c>
      <c r="C30" s="93">
        <v>13</v>
      </c>
      <c r="D30" s="43">
        <v>300</v>
      </c>
      <c r="E30" s="43">
        <v>600</v>
      </c>
      <c r="F30" s="42">
        <v>2900</v>
      </c>
      <c r="G30" s="95">
        <v>559.97</v>
      </c>
      <c r="H30" s="95">
        <v>24.69</v>
      </c>
      <c r="I30" s="95">
        <v>5.71</v>
      </c>
      <c r="J30" s="95">
        <v>3.24</v>
      </c>
      <c r="K30" s="95">
        <v>-2.89</v>
      </c>
      <c r="L30" s="43">
        <f t="shared" si="0"/>
        <v>14.5</v>
      </c>
      <c r="M30" s="43">
        <f t="shared" si="1"/>
        <v>31.224787363304984</v>
      </c>
      <c r="N30" s="44" t="str">
        <f t="shared" si="2"/>
        <v>sho.col</v>
      </c>
      <c r="P30" s="46">
        <f t="shared" si="3"/>
        <v>24.69</v>
      </c>
      <c r="Q30" s="46">
        <f t="shared" si="4"/>
        <v>5.71</v>
      </c>
      <c r="R30" s="46">
        <f t="shared" si="5"/>
        <v>3.24</v>
      </c>
      <c r="S30" s="46">
        <f t="shared" si="6"/>
        <v>2.89</v>
      </c>
      <c r="U30" s="289"/>
      <c r="V30" s="298"/>
      <c r="W30" s="15" t="s">
        <v>99</v>
      </c>
      <c r="X30" s="43">
        <v>0</v>
      </c>
      <c r="Y30" s="43" t="e">
        <f>(#REF!*Y28^3/12)/Y29</f>
        <v>#REF!</v>
      </c>
      <c r="Z30" s="293"/>
      <c r="AA30" s="293"/>
      <c r="AB30" s="293"/>
      <c r="AC30" s="295"/>
      <c r="AD30" s="293"/>
      <c r="AE30" s="293"/>
      <c r="AJ30" s="306" t="str">
        <f t="shared" si="7"/>
        <v>C226</v>
      </c>
      <c r="AK30" s="307"/>
      <c r="AL30" s="43">
        <v>300</v>
      </c>
      <c r="AM30" s="43">
        <v>600</v>
      </c>
      <c r="AN30" s="43">
        <f t="shared" si="8"/>
        <v>540</v>
      </c>
      <c r="AO30" s="43">
        <f t="shared" si="9"/>
        <v>559.97</v>
      </c>
      <c r="AP30" s="43">
        <f t="shared" si="10"/>
        <v>24.69</v>
      </c>
      <c r="AQ30" s="43">
        <f t="shared" si="11"/>
        <v>3.24</v>
      </c>
      <c r="AR30" s="43">
        <f t="shared" si="12"/>
        <v>28.17923076923077</v>
      </c>
      <c r="AS30" s="43">
        <f t="shared" si="13"/>
        <v>9.8873076923076937</v>
      </c>
      <c r="AT30" s="43">
        <f t="shared" si="14"/>
        <v>28.17923076923077</v>
      </c>
      <c r="AU30" s="43">
        <f t="shared" si="15"/>
        <v>5.0322750806705306E-2</v>
      </c>
      <c r="AV30" s="44" t="str">
        <f t="shared" si="16"/>
        <v>Compression</v>
      </c>
      <c r="AW30" s="43">
        <f t="shared" si="17"/>
        <v>1800</v>
      </c>
      <c r="AX30" s="43">
        <f t="shared" si="18"/>
        <v>450</v>
      </c>
      <c r="AY30" s="43">
        <f t="shared" si="19"/>
        <v>0.01</v>
      </c>
      <c r="AZ30" s="47">
        <f t="shared" si="20"/>
        <v>12</v>
      </c>
      <c r="BA30" s="48" t="s">
        <v>65</v>
      </c>
      <c r="BB30" s="49">
        <v>14</v>
      </c>
      <c r="BC30" s="95">
        <v>5.75</v>
      </c>
      <c r="BD30" s="43">
        <f t="shared" si="21"/>
        <v>126.99606293110035</v>
      </c>
      <c r="BE30" s="43">
        <f t="shared" si="22"/>
        <v>-119.32939626443368</v>
      </c>
      <c r="BF30" s="43">
        <f t="shared" si="23"/>
        <v>110</v>
      </c>
      <c r="BG30" s="43">
        <f t="shared" si="24"/>
        <v>600</v>
      </c>
      <c r="BH30" s="44" t="str">
        <f t="shared" si="25"/>
        <v>No Need Shear Reinf.</v>
      </c>
      <c r="BI30" s="50" t="str">
        <f t="shared" si="26"/>
        <v>Use Φ10@110mm</v>
      </c>
      <c r="BJ30" s="43">
        <f t="shared" si="27"/>
        <v>300</v>
      </c>
      <c r="BK30" s="43">
        <f t="shared" si="28"/>
        <v>600</v>
      </c>
      <c r="BL30" s="43">
        <f t="shared" si="29"/>
        <v>270</v>
      </c>
      <c r="BM30" s="43">
        <f t="shared" si="30"/>
        <v>120</v>
      </c>
      <c r="BN30" s="43">
        <f t="shared" si="90"/>
        <v>486.66666666666657</v>
      </c>
      <c r="BO30" s="43">
        <f t="shared" si="90"/>
        <v>345.00000000000006</v>
      </c>
      <c r="BP30" s="43">
        <f t="shared" si="33"/>
        <v>1916.8044</v>
      </c>
      <c r="BQ30" s="43">
        <f t="shared" si="34"/>
        <v>1667.9543999999999</v>
      </c>
      <c r="BR30" s="43">
        <f t="shared" si="35"/>
        <v>408.58725600000002</v>
      </c>
      <c r="BS30" s="43">
        <f t="shared" si="36"/>
        <v>201.52389600000001</v>
      </c>
      <c r="BT30" s="43">
        <f t="shared" si="91"/>
        <v>0.21316064174310118</v>
      </c>
      <c r="BU30" s="43">
        <f t="shared" si="91"/>
        <v>0.12082098647301151</v>
      </c>
      <c r="BV30" s="43">
        <f t="shared" si="39"/>
        <v>4.4091647766844655E-2</v>
      </c>
      <c r="BW30" s="43">
        <f t="shared" si="40"/>
        <v>5.7860242512991766E-3</v>
      </c>
      <c r="BX30" s="44" t="str">
        <f t="shared" si="92"/>
        <v>Compression Controls</v>
      </c>
      <c r="BY30" s="44" t="str">
        <f t="shared" si="92"/>
        <v>Compression Controls</v>
      </c>
      <c r="BZ30" s="43">
        <f t="shared" ref="BZ30:BZ37" si="93">IF(BX30="Compression Controls",CO30,DG30)</f>
        <v>3971.021208425896</v>
      </c>
      <c r="CA30" s="43">
        <f t="shared" si="44"/>
        <v>4436.1081053053813</v>
      </c>
      <c r="CB30" s="43">
        <f t="shared" si="45"/>
        <v>5016.1776</v>
      </c>
      <c r="CC30" s="43">
        <f t="shared" si="46"/>
        <v>2608.4123520000003</v>
      </c>
      <c r="CD30" s="51" t="str">
        <f t="shared" si="47"/>
        <v xml:space="preserve">Safe </v>
      </c>
      <c r="CG30" s="43">
        <f t="shared" si="48"/>
        <v>462</v>
      </c>
      <c r="CH30" s="43">
        <f t="shared" ref="CH30:CH37" si="94">BK30-60</f>
        <v>540</v>
      </c>
      <c r="CI30" s="43">
        <f t="shared" ref="CI30:CI37" si="95">BV30*1000+BK30/2-60</f>
        <v>284.09164776684463</v>
      </c>
      <c r="CJ30" s="52">
        <f t="shared" si="51"/>
        <v>12.566367325694545</v>
      </c>
      <c r="CK30" s="52">
        <f t="shared" si="52"/>
        <v>-6431.6767117501076</v>
      </c>
      <c r="CL30" s="52">
        <f t="shared" si="53"/>
        <v>150973.38590771594</v>
      </c>
      <c r="CM30" s="52">
        <f t="shared" si="54"/>
        <v>-127234800</v>
      </c>
      <c r="CN30" s="52">
        <f t="shared" si="55"/>
        <v>525.60896655992349</v>
      </c>
      <c r="CO30" s="53">
        <f t="shared" si="56"/>
        <v>3971.021208425896</v>
      </c>
      <c r="CQ30" s="43">
        <f t="shared" si="57"/>
        <v>240</v>
      </c>
      <c r="CR30" s="43">
        <f t="shared" si="58"/>
        <v>95.786024251299182</v>
      </c>
      <c r="CS30" s="52">
        <f t="shared" si="59"/>
        <v>74.541145807115569</v>
      </c>
      <c r="CT30" s="52">
        <f t="shared" si="60"/>
        <v>-21499.749987415475</v>
      </c>
      <c r="CU30" s="52">
        <f t="shared" si="61"/>
        <v>116269.45942245418</v>
      </c>
      <c r="CV30" s="52">
        <f t="shared" si="62"/>
        <v>-56548800</v>
      </c>
      <c r="CW30" s="52">
        <f t="shared" si="63"/>
        <v>291.98420553578569</v>
      </c>
      <c r="CX30" s="53">
        <f t="shared" si="64"/>
        <v>4436.1081053053813</v>
      </c>
      <c r="CZ30" s="52">
        <f t="shared" si="65"/>
        <v>3570</v>
      </c>
      <c r="DA30" s="52">
        <f t="shared" si="66"/>
        <v>-1827185.6349447293</v>
      </c>
      <c r="DB30" s="54">
        <f t="shared" si="67"/>
        <v>-90985070.122185111</v>
      </c>
      <c r="DC30" s="54">
        <f t="shared" si="68"/>
        <v>557.5291386231462</v>
      </c>
      <c r="DD30" s="52">
        <f t="shared" si="69"/>
        <v>545.11497627627386</v>
      </c>
      <c r="DE30" s="52">
        <f t="shared" si="70"/>
        <v>-90985070.122185111</v>
      </c>
      <c r="DF30" s="52">
        <f t="shared" si="71"/>
        <v>557.5291386231462</v>
      </c>
      <c r="DG30" s="53">
        <f t="shared" si="72"/>
        <v>3969.7624497692636</v>
      </c>
      <c r="DI30" s="52">
        <f t="shared" ref="DI30:DI37" si="96">0.425*fc*BK30</f>
        <v>7140</v>
      </c>
      <c r="DJ30" s="52">
        <f t="shared" si="74"/>
        <v>-2059375.5736914477</v>
      </c>
      <c r="DK30" s="52">
        <f t="shared" si="75"/>
        <v>-34001216.808257587</v>
      </c>
      <c r="DL30" s="52">
        <f t="shared" si="76"/>
        <v>304.08813246102318</v>
      </c>
      <c r="DM30" s="52">
        <f t="shared" si="77"/>
        <v>272.36761086895712</v>
      </c>
      <c r="DN30" s="52">
        <f t="shared" si="78"/>
        <v>-28257304.58589955</v>
      </c>
      <c r="DO30" s="52">
        <f t="shared" si="79"/>
        <v>301.55207185243069</v>
      </c>
      <c r="DP30" s="53">
        <f t="shared" si="80"/>
        <v>4226.9618222741683</v>
      </c>
      <c r="DT30" s="41" t="str">
        <f t="shared" si="84"/>
        <v>C226</v>
      </c>
      <c r="DU30" s="55">
        <f t="shared" si="85"/>
        <v>12</v>
      </c>
      <c r="DV30" s="56" t="str">
        <f t="shared" si="86"/>
        <v>φ</v>
      </c>
      <c r="DW30" s="57">
        <f t="shared" si="87"/>
        <v>14</v>
      </c>
    </row>
    <row r="31" spans="1:256" s="150" customFormat="1" ht="16.5" customHeight="1" thickTop="1" thickBot="1" x14ac:dyDescent="0.3">
      <c r="A31" s="138" t="s">
        <v>142</v>
      </c>
      <c r="B31" s="179" t="s">
        <v>178</v>
      </c>
      <c r="C31" s="170">
        <v>58</v>
      </c>
      <c r="D31" s="43">
        <v>300</v>
      </c>
      <c r="E31" s="43">
        <v>600</v>
      </c>
      <c r="F31" s="138">
        <v>2900</v>
      </c>
      <c r="G31" s="151">
        <v>694.21</v>
      </c>
      <c r="H31" s="151">
        <v>4.87</v>
      </c>
      <c r="I31" s="151">
        <v>6.51</v>
      </c>
      <c r="J31" s="151">
        <v>60.4</v>
      </c>
      <c r="K31" s="151">
        <v>-7.5</v>
      </c>
      <c r="L31" s="140">
        <f t="shared" si="0"/>
        <v>14.5</v>
      </c>
      <c r="M31" s="140">
        <f t="shared" si="1"/>
        <v>25.023041474654377</v>
      </c>
      <c r="N31" s="140" t="str">
        <f t="shared" si="2"/>
        <v>sho.col</v>
      </c>
      <c r="O31" s="141"/>
      <c r="P31" s="46">
        <f t="shared" si="3"/>
        <v>4.87</v>
      </c>
      <c r="Q31" s="46">
        <f t="shared" si="4"/>
        <v>6.51</v>
      </c>
      <c r="R31" s="46">
        <f t="shared" si="5"/>
        <v>60.4</v>
      </c>
      <c r="S31" s="46">
        <f t="shared" si="6"/>
        <v>7.5</v>
      </c>
      <c r="T31" s="141"/>
      <c r="U31" s="289"/>
      <c r="V31" s="300" t="s">
        <v>101</v>
      </c>
      <c r="W31" s="142" t="s">
        <v>86</v>
      </c>
      <c r="X31" s="140">
        <v>0</v>
      </c>
      <c r="Y31" s="140">
        <v>500</v>
      </c>
      <c r="Z31" s="293">
        <v>500</v>
      </c>
      <c r="AA31" s="293">
        <v>501</v>
      </c>
      <c r="AB31" s="293">
        <v>502</v>
      </c>
      <c r="AC31" s="292">
        <v>0</v>
      </c>
      <c r="AD31" s="292">
        <v>1</v>
      </c>
      <c r="AE31" s="293"/>
      <c r="AF31" s="141"/>
      <c r="AG31" s="141"/>
      <c r="AH31" s="141"/>
      <c r="AI31" s="141"/>
      <c r="AJ31" s="308" t="str">
        <f t="shared" si="7"/>
        <v>C227</v>
      </c>
      <c r="AK31" s="309"/>
      <c r="AL31" s="43">
        <v>300</v>
      </c>
      <c r="AM31" s="43">
        <v>600</v>
      </c>
      <c r="AN31" s="140">
        <f t="shared" si="8"/>
        <v>540</v>
      </c>
      <c r="AO31" s="140">
        <f t="shared" si="9"/>
        <v>694.21</v>
      </c>
      <c r="AP31" s="140">
        <f t="shared" si="10"/>
        <v>4.87</v>
      </c>
      <c r="AQ31" s="140">
        <f t="shared" si="11"/>
        <v>60.4</v>
      </c>
      <c r="AR31" s="140">
        <f t="shared" si="12"/>
        <v>69.916153846153847</v>
      </c>
      <c r="AS31" s="140">
        <f t="shared" si="13"/>
        <v>61.711153846153842</v>
      </c>
      <c r="AT31" s="140">
        <f t="shared" si="14"/>
        <v>69.916153846153847</v>
      </c>
      <c r="AU31" s="140">
        <f t="shared" si="15"/>
        <v>0.10071326233582611</v>
      </c>
      <c r="AV31" s="140" t="str">
        <f t="shared" si="16"/>
        <v>Compression</v>
      </c>
      <c r="AW31" s="140">
        <f t="shared" si="17"/>
        <v>1800</v>
      </c>
      <c r="AX31" s="140">
        <f t="shared" si="18"/>
        <v>450</v>
      </c>
      <c r="AY31" s="140">
        <f t="shared" si="19"/>
        <v>0.01</v>
      </c>
      <c r="AZ31" s="143">
        <f t="shared" si="20"/>
        <v>12</v>
      </c>
      <c r="BA31" s="144" t="s">
        <v>65</v>
      </c>
      <c r="BB31" s="145">
        <v>14</v>
      </c>
      <c r="BC31" s="151">
        <v>20.58</v>
      </c>
      <c r="BD31" s="140">
        <f t="shared" si="21"/>
        <v>126.99606293110035</v>
      </c>
      <c r="BE31" s="140">
        <f t="shared" si="22"/>
        <v>-99.556062931100357</v>
      </c>
      <c r="BF31" s="140">
        <f t="shared" si="23"/>
        <v>110</v>
      </c>
      <c r="BG31" s="140">
        <f t="shared" si="24"/>
        <v>600</v>
      </c>
      <c r="BH31" s="140" t="str">
        <f t="shared" si="25"/>
        <v>No Need Shear Reinf.</v>
      </c>
      <c r="BI31" s="146" t="str">
        <f t="shared" si="26"/>
        <v>Use Φ10@110mm</v>
      </c>
      <c r="BJ31" s="140">
        <f t="shared" si="27"/>
        <v>300</v>
      </c>
      <c r="BK31" s="140">
        <f t="shared" si="28"/>
        <v>600</v>
      </c>
      <c r="BL31" s="140">
        <f t="shared" si="29"/>
        <v>270</v>
      </c>
      <c r="BM31" s="140">
        <f t="shared" ref="BM31:BM37" si="97">0.85*(600*(BJ31-60))/(600+fy)</f>
        <v>120</v>
      </c>
      <c r="BN31" s="140">
        <f t="shared" ref="BN31:BN37" si="98">600*(BL31/0.85-60)*0.85/BL31</f>
        <v>486.66666666666657</v>
      </c>
      <c r="BO31" s="140">
        <f t="shared" ref="BO31:BO37" si="99">600*(BM31/0.85-60)*0.85/BM31</f>
        <v>345.00000000000006</v>
      </c>
      <c r="BP31" s="140">
        <f t="shared" ref="BP31:BP37" si="100">IF(BN31&gt;fy,(0.85*fc*BL31*BJ31+CG31*(fy-0.85*fc)-CG31*fy),(0.85*fc*BL31*BJ31+CG31*(BN31-0.85*fc)-CG31*fy))/1000</f>
        <v>1916.8044</v>
      </c>
      <c r="BQ31" s="140">
        <f t="shared" ref="BQ31:BQ37" si="101">IF(BO31&gt;fy,(0.85*fc*BM31*BK31+CG31*(fy-0.85*fc)-CG31*fy),(0.85*fc*BM31*BK31+CG31*(BO31-0.85*fc)-CG31*fy))/1000</f>
        <v>1667.9543999999999</v>
      </c>
      <c r="BR31" s="140">
        <f t="shared" si="35"/>
        <v>408.58725600000002</v>
      </c>
      <c r="BS31" s="140">
        <f t="shared" ref="BS31:BS37" si="102">IF(BO31&gt;fy,(0.85*fc*BM31*BK31*((BJ31-60)-BM31/2-60)+CG31*(fy-0.85*AM$2)*(BJ31/2-60)-CG31*fy*(BJ31/2-60)),(0.85*fc*BM31*BK31*((BJ31-60)-BM31/2-60)+CG31*(BO31-0.85*fc)*(BJ31/2-60)-CG31*fy*(BJ31/2-60)))/1000000</f>
        <v>201.52389600000001</v>
      </c>
      <c r="BT31" s="140">
        <f t="shared" ref="BT31:BT37" si="103">BR31/BP31</f>
        <v>0.21316064174310118</v>
      </c>
      <c r="BU31" s="140">
        <f t="shared" ref="BU31:BU37" si="104">BS31/BQ31</f>
        <v>0.12082098647301151</v>
      </c>
      <c r="BV31" s="140">
        <f t="shared" si="39"/>
        <v>7.01516832082511E-3</v>
      </c>
      <c r="BW31" s="140">
        <f t="shared" si="40"/>
        <v>8.7005373013929493E-2</v>
      </c>
      <c r="BX31" s="140" t="str">
        <f t="shared" ref="BX31:BX37" si="105">IF(BT31&gt;BV31,"Compression Controls","Tension Controls")</f>
        <v>Compression Controls</v>
      </c>
      <c r="BY31" s="140" t="str">
        <f t="shared" ref="BY31:BY37" si="106">IF(BU31&gt;BW31,"Compression Controls","Tension Controls")</f>
        <v>Compression Controls</v>
      </c>
      <c r="BZ31" s="140">
        <f t="shared" si="93"/>
        <v>4520.660534321335</v>
      </c>
      <c r="CA31" s="140">
        <f t="shared" ref="CA31:CA37" si="107">IF(BY31="Compression Controls",CX31,DP31)</f>
        <v>2149.4000369335799</v>
      </c>
      <c r="CB31" s="140">
        <f t="shared" ref="CB31:CB37" si="108">(0.85*fc*BJ31*BK31+CG31*4*(fy-0.85*fc))/1000</f>
        <v>5016.1776</v>
      </c>
      <c r="CC31" s="140">
        <f t="shared" si="46"/>
        <v>1334.4344509996952</v>
      </c>
      <c r="CD31" s="147" t="str">
        <f t="shared" si="47"/>
        <v xml:space="preserve">Safe </v>
      </c>
      <c r="CE31" s="141"/>
      <c r="CF31" s="141"/>
      <c r="CG31" s="140">
        <f t="shared" si="48"/>
        <v>462</v>
      </c>
      <c r="CH31" s="140">
        <f t="shared" si="94"/>
        <v>540</v>
      </c>
      <c r="CI31" s="140">
        <f t="shared" si="95"/>
        <v>247.01516832082513</v>
      </c>
      <c r="CJ31" s="140">
        <f t="shared" ref="CJ31:CJ37" si="109">0.85*fc*BJ31/(2*CI31)</f>
        <v>14.452553761246183</v>
      </c>
      <c r="CK31" s="140">
        <f t="shared" ref="CK31:CK37" si="110">0.85*fc*BJ31*(1-CH31/CI31)</f>
        <v>-8468.7580621458746</v>
      </c>
      <c r="CL31" s="140">
        <f t="shared" ref="CL31:CL37" si="111">(600*CG31+CG31*(fy-0.85*fc)*(1-(CH31-60)/CI31))</f>
        <v>104552.42935192597</v>
      </c>
      <c r="CM31" s="140">
        <f t="shared" ref="CM31:CM37" si="112">-510*CH31*CG31</f>
        <v>-127234800</v>
      </c>
      <c r="CN31" s="140">
        <f t="shared" ref="CN31:CN37" si="113">(((CK31*CL31/(6*CJ31^2)-(CK31/(3*CJ31))^3-CM31/(2*CJ31))^2+(-(CK31^2/(9*CJ31^2))+CL31/(3*CJ31))^3)^0.5+CK31*CL31/(6*CJ31^2)-CK31^3/(27*CJ31^3)-CM31/(2*CJ31))^(1/3)+(-(((CK31*CL31/(6*CJ31^2)-(CK31/(3*CJ31))^3-CM31/(2*CJ31))^2+(-(CK31^2/(9*CJ31^2))+CL31/(3*CJ31))^3)^0.5)+CK31*CL31/(6*CJ31^2)-CK31^3/(27*CJ31^3)-CM31/(2*CJ31))^(1/3)-CK31/(3*CJ31)</f>
        <v>598.4620569169839</v>
      </c>
      <c r="CO31" s="140">
        <f t="shared" ref="CO31:CO37" si="114">((0.85*fc*CN31*BJ31)+(CG31*(fy-0.85*fc))-(CG31*600*((0.85*CH31)-CN31)/CN31))/1000</f>
        <v>4520.660534321335</v>
      </c>
      <c r="CP31" s="141"/>
      <c r="CQ31" s="140">
        <f t="shared" ref="CQ31:CQ37" si="115">BJ31-60</f>
        <v>240</v>
      </c>
      <c r="CR31" s="140">
        <f t="shared" ref="CR31:CR37" si="116">BW31*1000+BJ31/2-60</f>
        <v>177.0053730139295</v>
      </c>
      <c r="CS31" s="140">
        <f t="shared" ref="CS31:CS37" si="117">0.85*fc*BK31/(2*CR31)</f>
        <v>40.337758557408961</v>
      </c>
      <c r="CT31" s="140">
        <f t="shared" ref="CT31:CT37" si="118">0.85*fc*BK31*(1-CQ31/CR31)</f>
        <v>-5082.1241075563012</v>
      </c>
      <c r="CU31" s="140">
        <f t="shared" ref="CU31:CU37" si="119">(600*CG31+CG31*(fy-0.85*fc)*(1-(CQ31-60)/CR31))</f>
        <v>274103.20304657676</v>
      </c>
      <c r="CV31" s="140">
        <f t="shared" ref="CV31:CV37" si="120">-510*CQ31*CG31</f>
        <v>-56548800</v>
      </c>
      <c r="CW31" s="140">
        <f t="shared" ref="CW31:CW37" si="121">(((CT31*CU31/(6*CS31^2)-(CT31/(3*CS31))^3-CV31/(2*CS31))^2+(-(CT31^2/(9*CS31^2))+CU31/(3*CS31))^3)^0.5+CT31*CU31/(6*CS31^2)-CT31^3/(27*CS31^3)-CV31/(2*CS31))^(1/3)+(-(((CT31*CU31/(6*CS31^2)-(CT31/(3*CS31))^3-CV31/(2*CS31))^2+(-(CT31^2/(9*CS31^2))+CU31/(3*CS31))^3)^0.5)+CT31*CU31/(6*CS31^2)-CT31^3/(27*CS31^3)-CV31/(2*CS31))^(1/3)-CT31/(3*CS31)</f>
        <v>145.50396336737697</v>
      </c>
      <c r="CX31" s="140">
        <f t="shared" ref="CX31:CX37" si="122">((0.85*fc*CW31*BK31)+(CG31*(fy-0.85*fc))-(CG31*600*((0.85*CQ31)-CW31)/CW31))/1000</f>
        <v>2149.4000369335799</v>
      </c>
      <c r="CY31" s="141"/>
      <c r="CZ31" s="140">
        <f t="shared" ref="CZ31:CZ37" si="123">0.425*fc*BJ31</f>
        <v>3570</v>
      </c>
      <c r="DA31" s="140">
        <f t="shared" ref="DA31:DA37" si="124">2*CZ31*(CI31-CH31)</f>
        <v>-2091911.6981893086</v>
      </c>
      <c r="DB31" s="46">
        <f t="shared" ref="DB31:DB37" si="125">CG31*(fy-0.85*fc)*(CI31-CH31+60)-CG31*fy*CI31</f>
        <v>-90577391.984788463</v>
      </c>
      <c r="DC31" s="46">
        <f t="shared" ref="DC31:DC37" si="126">(-DA31+(DA31^2-4*CZ31*DB31)^0.5)/(2*CZ31)</f>
        <v>626.46935917214341</v>
      </c>
      <c r="DD31" s="140">
        <f t="shared" ref="DD31:DD37" si="127">600*(DC31/0.85-60)*0.85/DC31</f>
        <v>551.15483374887356</v>
      </c>
      <c r="DE31" s="140">
        <f t="shared" ref="DE31:DE37" si="128">IF(DD31&gt;fy,DB31,CG31*(DD31-0.85*fc)*(CI31-CH31+60)-CG31*fy*CI31)</f>
        <v>-90577391.984788463</v>
      </c>
      <c r="DF31" s="140">
        <f t="shared" ref="DF31:DF37" si="129">(-DA31+(DA31^2-4*CZ31*DE31)^0.5)/(2*CZ31)</f>
        <v>626.46935917214341</v>
      </c>
      <c r="DG31" s="140">
        <f t="shared" ref="DG31:DG37" si="130">IF(DD31&gt;fy,(0.85*fc*DF31*BJ31+CG31*(fy-0.85*fc)-CG31*fy),(0.85*fc*DF31*BJ31+CG31*(DD31-0.85*fc)-CG31*fy))/1000</f>
        <v>4461.9956244891046</v>
      </c>
      <c r="DH31" s="141"/>
      <c r="DI31" s="140">
        <f t="shared" si="96"/>
        <v>7140</v>
      </c>
      <c r="DJ31" s="140">
        <f t="shared" ref="DJ31:DJ37" si="131">2*DI31*(CR31-CQ31)</f>
        <v>-899563.27336108673</v>
      </c>
      <c r="DK31" s="140">
        <f t="shared" ref="DK31:DK37" si="132">CG31*(fy-0.85*fc)*(CR31-CQ31+60)-CG31*fy*CR31</f>
        <v>-34894272.279511966</v>
      </c>
      <c r="DL31" s="140">
        <f t="shared" ref="DL31:DL37" si="133">(-DJ31+(DJ31^2-4*DI31*DK31)^0.5)/(2*DI31)</f>
        <v>157.09816575820153</v>
      </c>
      <c r="DM31" s="140">
        <f t="shared" ref="DM31:DM37" si="134">600*(DL31/0.85-60)*0.85/DC31</f>
        <v>101.61534402742994</v>
      </c>
      <c r="DN31" s="140">
        <f t="shared" ref="DN31:DN37" si="135">IF(DM31&gt;fy,DK31,CG31*(DM31-0.85*fc)*(CR31-CQ31+60)-CG31*fy*CR31)</f>
        <v>-34453781.482892446</v>
      </c>
      <c r="DO31" s="140">
        <f t="shared" ref="DO31:DO37" si="136">(-DJ31+(DJ31^2-4*DI31*DN31)^0.5)/(2*DI31)</f>
        <v>156.76979758338626</v>
      </c>
      <c r="DP31" s="140">
        <f t="shared" ref="DP31:DP37" si="137">IF(DM31&gt;fy,(0.85*fc*DO31*BK31+CG31*(fy-0.85*fc)-CG31*fy),(0.85*fc*DO31*BK31+CG31*(DM31-0.85*fc)-CG31*fy))/1000</f>
        <v>2080.5833984314286</v>
      </c>
      <c r="DQ31" s="141"/>
      <c r="DR31" s="141"/>
      <c r="DS31" s="141"/>
      <c r="DT31" s="41" t="str">
        <f t="shared" si="84"/>
        <v>C227</v>
      </c>
      <c r="DU31" s="55">
        <f t="shared" si="85"/>
        <v>12</v>
      </c>
      <c r="DV31" s="56" t="str">
        <f t="shared" si="86"/>
        <v>φ</v>
      </c>
      <c r="DW31" s="57">
        <f t="shared" si="87"/>
        <v>14</v>
      </c>
      <c r="DX31" s="141"/>
      <c r="DY31" s="141"/>
      <c r="DZ31" s="141"/>
      <c r="EA31" s="141"/>
      <c r="EB31" s="141"/>
      <c r="EC31" s="141"/>
      <c r="ED31" s="141"/>
      <c r="EE31" s="141"/>
      <c r="EF31" s="141"/>
      <c r="EG31" s="141"/>
      <c r="EH31" s="141"/>
      <c r="EI31" s="141"/>
      <c r="EJ31" s="141"/>
      <c r="EK31" s="141"/>
      <c r="EL31" s="141"/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  <c r="EZ31" s="141"/>
      <c r="FA31" s="141"/>
      <c r="FB31" s="141"/>
      <c r="FC31" s="141"/>
      <c r="FD31" s="141"/>
      <c r="FE31" s="141"/>
      <c r="FF31" s="141"/>
      <c r="FG31" s="141"/>
      <c r="FH31" s="141"/>
      <c r="FI31" s="141"/>
      <c r="FJ31" s="141"/>
      <c r="FK31" s="141"/>
      <c r="FL31" s="141"/>
      <c r="FM31" s="141"/>
      <c r="FN31" s="141"/>
      <c r="FO31" s="141"/>
      <c r="FP31" s="141"/>
      <c r="FQ31" s="141"/>
      <c r="FR31" s="141"/>
      <c r="FS31" s="141"/>
      <c r="FT31" s="141"/>
      <c r="FU31" s="141"/>
      <c r="FV31" s="141"/>
      <c r="FW31" s="141"/>
      <c r="FX31" s="141"/>
      <c r="FY31" s="141"/>
      <c r="FZ31" s="141"/>
      <c r="GA31" s="141"/>
      <c r="GB31" s="141"/>
      <c r="GC31" s="141"/>
      <c r="GD31" s="141"/>
      <c r="GE31" s="141"/>
      <c r="GF31" s="141"/>
      <c r="GG31" s="141"/>
      <c r="GH31" s="141"/>
      <c r="GI31" s="141"/>
      <c r="GJ31" s="141"/>
      <c r="GK31" s="141"/>
      <c r="GL31" s="141"/>
      <c r="GM31" s="141"/>
      <c r="GN31" s="141"/>
      <c r="GO31" s="141"/>
      <c r="GP31" s="141"/>
      <c r="GQ31" s="141"/>
      <c r="GR31" s="141"/>
      <c r="GS31" s="141"/>
      <c r="GT31" s="141"/>
      <c r="GU31" s="141"/>
      <c r="GV31" s="141"/>
      <c r="GW31" s="141"/>
      <c r="GX31" s="141"/>
      <c r="GY31" s="141"/>
      <c r="GZ31" s="141"/>
      <c r="HA31" s="141"/>
      <c r="HB31" s="141"/>
      <c r="HC31" s="141"/>
      <c r="HD31" s="141"/>
      <c r="HE31" s="141"/>
      <c r="HF31" s="141"/>
      <c r="HG31" s="141"/>
      <c r="HH31" s="141"/>
      <c r="HI31" s="141"/>
      <c r="HJ31" s="141"/>
      <c r="HK31" s="141"/>
      <c r="HL31" s="141"/>
      <c r="HM31" s="141"/>
      <c r="HN31" s="141"/>
      <c r="HO31" s="141"/>
      <c r="HP31" s="141"/>
      <c r="HQ31" s="141"/>
      <c r="HR31" s="141"/>
      <c r="HS31" s="141"/>
      <c r="HT31" s="141"/>
      <c r="HU31" s="141"/>
      <c r="HV31" s="141"/>
      <c r="HW31" s="141"/>
      <c r="HX31" s="141"/>
      <c r="HY31" s="141"/>
      <c r="HZ31" s="141"/>
      <c r="IA31" s="141"/>
      <c r="IB31" s="141"/>
      <c r="IC31" s="141"/>
      <c r="ID31" s="141"/>
      <c r="IE31" s="141"/>
      <c r="IF31" s="141"/>
      <c r="IG31" s="141"/>
      <c r="IH31" s="141"/>
      <c r="II31" s="141"/>
      <c r="IJ31" s="141"/>
      <c r="IK31" s="141"/>
      <c r="IL31" s="141"/>
      <c r="IM31" s="141"/>
      <c r="IN31" s="141"/>
      <c r="IO31" s="141"/>
      <c r="IP31" s="141"/>
      <c r="IQ31" s="141"/>
      <c r="IR31" s="141"/>
      <c r="IS31" s="141"/>
      <c r="IT31" s="141"/>
      <c r="IU31" s="141"/>
      <c r="IV31" s="141"/>
    </row>
    <row r="32" spans="1:256" ht="16.5" customHeight="1" thickTop="1" thickBot="1" x14ac:dyDescent="0.3">
      <c r="A32" s="42" t="s">
        <v>142</v>
      </c>
      <c r="B32" s="178" t="s">
        <v>179</v>
      </c>
      <c r="C32" s="93">
        <v>22</v>
      </c>
      <c r="D32" s="43">
        <v>200</v>
      </c>
      <c r="E32" s="43">
        <v>500</v>
      </c>
      <c r="F32" s="42">
        <v>2900</v>
      </c>
      <c r="G32" s="95">
        <v>369.05</v>
      </c>
      <c r="H32" s="95">
        <v>23.4</v>
      </c>
      <c r="I32" s="95">
        <v>-7.42</v>
      </c>
      <c r="J32" s="95">
        <v>-4.84</v>
      </c>
      <c r="K32" s="95">
        <v>4.92</v>
      </c>
      <c r="L32" s="43">
        <f t="shared" si="0"/>
        <v>17.399999999999999</v>
      </c>
      <c r="M32" s="43">
        <f t="shared" si="1"/>
        <v>37.805128205128206</v>
      </c>
      <c r="N32" s="44" t="str">
        <f t="shared" si="2"/>
        <v>sho.col</v>
      </c>
      <c r="O32" s="3"/>
      <c r="P32" s="46">
        <f t="shared" si="3"/>
        <v>23.4</v>
      </c>
      <c r="Q32" s="46">
        <f t="shared" si="4"/>
        <v>7.42</v>
      </c>
      <c r="R32" s="46">
        <f t="shared" si="5"/>
        <v>4.84</v>
      </c>
      <c r="S32" s="46">
        <f t="shared" si="6"/>
        <v>4.92</v>
      </c>
      <c r="U32" s="289"/>
      <c r="V32" s="298"/>
      <c r="W32" s="15" t="s">
        <v>97</v>
      </c>
      <c r="X32" s="43">
        <v>0</v>
      </c>
      <c r="Y32" s="43">
        <v>600</v>
      </c>
      <c r="Z32" s="295"/>
      <c r="AA32" s="295"/>
      <c r="AB32" s="295"/>
      <c r="AC32" s="295"/>
      <c r="AD32" s="293"/>
      <c r="AE32" s="293"/>
      <c r="AJ32" s="306" t="str">
        <f t="shared" si="7"/>
        <v>C229</v>
      </c>
      <c r="AK32" s="307"/>
      <c r="AL32" s="43">
        <v>200</v>
      </c>
      <c r="AM32" s="43">
        <v>500</v>
      </c>
      <c r="AN32" s="43">
        <f t="shared" si="8"/>
        <v>440</v>
      </c>
      <c r="AO32" s="43">
        <f t="shared" si="9"/>
        <v>369.05</v>
      </c>
      <c r="AP32" s="43">
        <f t="shared" si="10"/>
        <v>23.4</v>
      </c>
      <c r="AQ32" s="43">
        <f t="shared" si="11"/>
        <v>4.84</v>
      </c>
      <c r="AR32" s="43">
        <f t="shared" si="12"/>
        <v>29.915384615384614</v>
      </c>
      <c r="AS32" s="43">
        <f t="shared" si="13"/>
        <v>9.879999999999999</v>
      </c>
      <c r="AT32" s="43">
        <f t="shared" si="14"/>
        <v>29.915384615384614</v>
      </c>
      <c r="AU32" s="43">
        <f t="shared" si="15"/>
        <v>8.1060519212531129E-2</v>
      </c>
      <c r="AV32" s="44" t="str">
        <f t="shared" si="16"/>
        <v>Compression</v>
      </c>
      <c r="AW32" s="43">
        <f t="shared" si="17"/>
        <v>1000</v>
      </c>
      <c r="AX32" s="43">
        <f t="shared" si="18"/>
        <v>250</v>
      </c>
      <c r="AY32" s="43">
        <f t="shared" si="19"/>
        <v>0.01</v>
      </c>
      <c r="AZ32" s="47">
        <f t="shared" si="20"/>
        <v>8</v>
      </c>
      <c r="BA32" s="48" t="s">
        <v>65</v>
      </c>
      <c r="BB32" s="49">
        <v>14</v>
      </c>
      <c r="BC32" s="95">
        <v>21.16</v>
      </c>
      <c r="BD32" s="43">
        <f t="shared" si="21"/>
        <v>61.734197258173779</v>
      </c>
      <c r="BE32" s="43">
        <f t="shared" si="22"/>
        <v>-33.520863924840448</v>
      </c>
      <c r="BF32" s="43">
        <f t="shared" si="23"/>
        <v>100</v>
      </c>
      <c r="BG32" s="43">
        <f t="shared" si="24"/>
        <v>500</v>
      </c>
      <c r="BH32" s="44" t="str">
        <f t="shared" si="25"/>
        <v>No Need Shear Reinf.</v>
      </c>
      <c r="BI32" s="50" t="str">
        <f t="shared" si="26"/>
        <v>Use Φ10@100mm</v>
      </c>
      <c r="BJ32" s="43">
        <f t="shared" si="27"/>
        <v>200</v>
      </c>
      <c r="BK32" s="43">
        <f t="shared" si="28"/>
        <v>500</v>
      </c>
      <c r="BL32" s="43">
        <f t="shared" si="29"/>
        <v>220</v>
      </c>
      <c r="BM32" s="43">
        <f t="shared" si="97"/>
        <v>70</v>
      </c>
      <c r="BN32" s="43">
        <f t="shared" si="98"/>
        <v>460.90909090909082</v>
      </c>
      <c r="BO32" s="43">
        <f t="shared" si="99"/>
        <v>162.85714285714292</v>
      </c>
      <c r="BP32" s="43">
        <f t="shared" si="100"/>
        <v>1039.8696</v>
      </c>
      <c r="BQ32" s="43">
        <f t="shared" si="101"/>
        <v>746.46960000000001</v>
      </c>
      <c r="BR32" s="43">
        <f t="shared" si="35"/>
        <v>194.37202400000001</v>
      </c>
      <c r="BS32" s="43">
        <f t="shared" si="102"/>
        <v>34.023783999999999</v>
      </c>
      <c r="BT32" s="43">
        <f t="shared" si="103"/>
        <v>0.18691961376695695</v>
      </c>
      <c r="BU32" s="43">
        <f t="shared" si="104"/>
        <v>4.5579597615227729E-2</v>
      </c>
      <c r="BV32" s="43">
        <f t="shared" si="39"/>
        <v>6.3406042541661017E-2</v>
      </c>
      <c r="BW32" s="43">
        <f t="shared" si="40"/>
        <v>1.3114754098360656E-2</v>
      </c>
      <c r="BX32" s="44" t="str">
        <f t="shared" si="105"/>
        <v>Compression Controls</v>
      </c>
      <c r="BY32" s="44" t="str">
        <f t="shared" si="106"/>
        <v>Compression Controls</v>
      </c>
      <c r="BZ32" s="43">
        <f t="shared" si="93"/>
        <v>1975.9679854251096</v>
      </c>
      <c r="CA32" s="43">
        <f t="shared" si="107"/>
        <v>2250.345087420797</v>
      </c>
      <c r="CB32" s="43">
        <f t="shared" si="108"/>
        <v>2868.1183999999998</v>
      </c>
      <c r="CC32" s="43">
        <f t="shared" si="46"/>
        <v>1080.0989369485856</v>
      </c>
      <c r="CD32" s="51" t="str">
        <f t="shared" si="47"/>
        <v xml:space="preserve">Safe </v>
      </c>
      <c r="CG32" s="43">
        <f t="shared" si="48"/>
        <v>308</v>
      </c>
      <c r="CH32" s="43">
        <f t="shared" si="94"/>
        <v>440</v>
      </c>
      <c r="CI32" s="43">
        <f t="shared" si="95"/>
        <v>253.40604254166101</v>
      </c>
      <c r="CJ32" s="52">
        <f t="shared" si="109"/>
        <v>9.3920412320425157</v>
      </c>
      <c r="CK32" s="52">
        <f t="shared" si="110"/>
        <v>-3504.9962841974134</v>
      </c>
      <c r="CL32" s="52">
        <f t="shared" si="111"/>
        <v>123837.72050534915</v>
      </c>
      <c r="CM32" s="52">
        <f t="shared" si="112"/>
        <v>-69115200</v>
      </c>
      <c r="CN32" s="52">
        <f t="shared" si="113"/>
        <v>388.07479270035435</v>
      </c>
      <c r="CO32" s="53">
        <f t="shared" si="114"/>
        <v>1975.9679854251096</v>
      </c>
      <c r="CQ32" s="43">
        <f t="shared" si="115"/>
        <v>140</v>
      </c>
      <c r="CR32" s="43">
        <f t="shared" si="116"/>
        <v>53.114754098360663</v>
      </c>
      <c r="CS32" s="52">
        <f t="shared" si="117"/>
        <v>112.02160493827159</v>
      </c>
      <c r="CT32" s="52">
        <f t="shared" si="118"/>
        <v>-19466.049382716046</v>
      </c>
      <c r="CU32" s="52">
        <f t="shared" si="119"/>
        <v>123031.93086419755</v>
      </c>
      <c r="CV32" s="52">
        <f t="shared" si="120"/>
        <v>-21991200</v>
      </c>
      <c r="CW32" s="52">
        <f t="shared" si="121"/>
        <v>173.94469561707993</v>
      </c>
      <c r="CX32" s="53">
        <f t="shared" si="122"/>
        <v>2250.345087420797</v>
      </c>
      <c r="CZ32" s="52">
        <f t="shared" si="123"/>
        <v>2380</v>
      </c>
      <c r="DA32" s="52">
        <f t="shared" si="124"/>
        <v>-888187.23750169366</v>
      </c>
      <c r="DB32" s="54">
        <f t="shared" si="125"/>
        <v>-48228815.654247388</v>
      </c>
      <c r="DC32" s="54">
        <f t="shared" si="126"/>
        <v>421.28846787145363</v>
      </c>
      <c r="DD32" s="52">
        <f t="shared" si="127"/>
        <v>527.36568329390661</v>
      </c>
      <c r="DE32" s="52">
        <f t="shared" si="128"/>
        <v>-48228815.654247388</v>
      </c>
      <c r="DF32" s="52">
        <f t="shared" si="129"/>
        <v>421.28846787145363</v>
      </c>
      <c r="DG32" s="53">
        <f t="shared" si="130"/>
        <v>1998.0027070681192</v>
      </c>
      <c r="DI32" s="52">
        <f t="shared" si="96"/>
        <v>5950</v>
      </c>
      <c r="DJ32" s="52">
        <f t="shared" si="131"/>
        <v>-1033934.4262295081</v>
      </c>
      <c r="DK32" s="52">
        <f t="shared" si="132"/>
        <v>-10151720.393442623</v>
      </c>
      <c r="DL32" s="52">
        <f t="shared" si="133"/>
        <v>183.08928661763304</v>
      </c>
      <c r="DM32" s="52">
        <f t="shared" si="134"/>
        <v>188.12186426798232</v>
      </c>
      <c r="DN32" s="52">
        <f t="shared" si="135"/>
        <v>-8231617.3783449708</v>
      </c>
      <c r="DO32" s="52">
        <f t="shared" si="136"/>
        <v>181.39720843016022</v>
      </c>
      <c r="DP32" s="53">
        <f t="shared" si="137"/>
        <v>2079.8779145134449</v>
      </c>
      <c r="DT32" s="41" t="str">
        <f t="shared" si="84"/>
        <v>C229</v>
      </c>
      <c r="DU32" s="55">
        <f t="shared" si="85"/>
        <v>8</v>
      </c>
      <c r="DV32" s="56" t="str">
        <f t="shared" si="86"/>
        <v>φ</v>
      </c>
      <c r="DW32" s="57">
        <f t="shared" si="87"/>
        <v>14</v>
      </c>
    </row>
    <row r="33" spans="1:256" ht="16.5" customHeight="1" thickTop="1" thickBot="1" x14ac:dyDescent="0.3">
      <c r="A33" s="42" t="s">
        <v>142</v>
      </c>
      <c r="B33" s="178" t="s">
        <v>180</v>
      </c>
      <c r="C33" s="93">
        <v>25</v>
      </c>
      <c r="D33" s="43">
        <v>200</v>
      </c>
      <c r="E33" s="43">
        <v>500</v>
      </c>
      <c r="F33" s="42">
        <v>2900</v>
      </c>
      <c r="G33" s="95">
        <v>786.5</v>
      </c>
      <c r="H33" s="95">
        <v>25.05</v>
      </c>
      <c r="I33" s="95">
        <v>10.48</v>
      </c>
      <c r="J33" s="95">
        <v>4.32</v>
      </c>
      <c r="K33" s="95">
        <v>9.4499999999999993</v>
      </c>
      <c r="L33" s="43">
        <f t="shared" si="0"/>
        <v>17.399999999999999</v>
      </c>
      <c r="M33" s="43">
        <f t="shared" si="1"/>
        <v>28.979640718562873</v>
      </c>
      <c r="N33" s="44" t="str">
        <f t="shared" si="2"/>
        <v>sho.col</v>
      </c>
      <c r="O33" s="3"/>
      <c r="P33" s="46">
        <f t="shared" si="3"/>
        <v>25.05</v>
      </c>
      <c r="Q33" s="46">
        <f t="shared" si="4"/>
        <v>10.48</v>
      </c>
      <c r="R33" s="46">
        <f t="shared" si="5"/>
        <v>4.32</v>
      </c>
      <c r="S33" s="46">
        <f t="shared" si="6"/>
        <v>9.4499999999999993</v>
      </c>
      <c r="U33" s="289"/>
      <c r="V33" s="298"/>
      <c r="W33" s="15" t="s">
        <v>98</v>
      </c>
      <c r="X33" s="43">
        <v>0</v>
      </c>
      <c r="Y33" s="43">
        <v>5200</v>
      </c>
      <c r="Z33" s="292">
        <v>0</v>
      </c>
      <c r="AA33" s="292">
        <v>0</v>
      </c>
      <c r="AB33" s="292">
        <v>0</v>
      </c>
      <c r="AC33" s="292">
        <v>0</v>
      </c>
      <c r="AD33" s="293"/>
      <c r="AE33" s="293"/>
      <c r="AJ33" s="306" t="str">
        <f t="shared" si="7"/>
        <v>C230</v>
      </c>
      <c r="AK33" s="307"/>
      <c r="AL33" s="43">
        <v>200</v>
      </c>
      <c r="AM33" s="43">
        <v>500</v>
      </c>
      <c r="AN33" s="43">
        <f t="shared" si="8"/>
        <v>440</v>
      </c>
      <c r="AO33" s="43">
        <f t="shared" si="9"/>
        <v>786.5</v>
      </c>
      <c r="AP33" s="43">
        <f t="shared" si="10"/>
        <v>25.05</v>
      </c>
      <c r="AQ33" s="43">
        <f t="shared" si="11"/>
        <v>4.32</v>
      </c>
      <c r="AR33" s="43">
        <f t="shared" si="12"/>
        <v>30.865384615384617</v>
      </c>
      <c r="AS33" s="43">
        <f t="shared" si="13"/>
        <v>9.7153846153846146</v>
      </c>
      <c r="AT33" s="43">
        <f t="shared" si="14"/>
        <v>30.865384615384617</v>
      </c>
      <c r="AU33" s="43">
        <f t="shared" si="15"/>
        <v>3.9243972810406376E-2</v>
      </c>
      <c r="AV33" s="44" t="str">
        <f t="shared" si="16"/>
        <v>Compression</v>
      </c>
      <c r="AW33" s="43">
        <f t="shared" si="17"/>
        <v>1000</v>
      </c>
      <c r="AX33" s="43">
        <f t="shared" si="18"/>
        <v>250</v>
      </c>
      <c r="AY33" s="43">
        <f t="shared" si="19"/>
        <v>0.01</v>
      </c>
      <c r="AZ33" s="47">
        <f t="shared" si="20"/>
        <v>8</v>
      </c>
      <c r="BA33" s="48" t="s">
        <v>65</v>
      </c>
      <c r="BB33" s="49">
        <v>14</v>
      </c>
      <c r="BC33" s="95">
        <v>41.75</v>
      </c>
      <c r="BD33" s="43">
        <f t="shared" si="21"/>
        <v>61.734197258173779</v>
      </c>
      <c r="BE33" s="43">
        <f t="shared" si="22"/>
        <v>-6.0675305915071176</v>
      </c>
      <c r="BF33" s="43">
        <f t="shared" si="23"/>
        <v>100</v>
      </c>
      <c r="BG33" s="43">
        <f t="shared" si="24"/>
        <v>500</v>
      </c>
      <c r="BH33" s="44">
        <f t="shared" si="25"/>
        <v>100</v>
      </c>
      <c r="BI33" s="50" t="str">
        <f t="shared" si="26"/>
        <v>Use Φ10@100mm</v>
      </c>
      <c r="BJ33" s="43">
        <f t="shared" si="27"/>
        <v>200</v>
      </c>
      <c r="BK33" s="43">
        <f t="shared" si="28"/>
        <v>500</v>
      </c>
      <c r="BL33" s="43">
        <f t="shared" si="29"/>
        <v>220</v>
      </c>
      <c r="BM33" s="43">
        <f t="shared" si="97"/>
        <v>70</v>
      </c>
      <c r="BN33" s="43">
        <f t="shared" si="98"/>
        <v>460.90909090909082</v>
      </c>
      <c r="BO33" s="43">
        <f t="shared" si="99"/>
        <v>162.85714285714292</v>
      </c>
      <c r="BP33" s="43">
        <f t="shared" si="100"/>
        <v>1039.8696</v>
      </c>
      <c r="BQ33" s="43">
        <f t="shared" si="101"/>
        <v>746.46960000000001</v>
      </c>
      <c r="BR33" s="43">
        <f t="shared" si="35"/>
        <v>194.37202400000001</v>
      </c>
      <c r="BS33" s="43">
        <f t="shared" si="102"/>
        <v>34.023783999999999</v>
      </c>
      <c r="BT33" s="43">
        <f t="shared" si="103"/>
        <v>0.18691961376695695</v>
      </c>
      <c r="BU33" s="43">
        <f t="shared" si="104"/>
        <v>4.5579597615227729E-2</v>
      </c>
      <c r="BV33" s="43">
        <f t="shared" si="39"/>
        <v>3.1849968213604578E-2</v>
      </c>
      <c r="BW33" s="43">
        <f t="shared" si="40"/>
        <v>5.4926891290527661E-3</v>
      </c>
      <c r="BX33" s="44" t="str">
        <f t="shared" si="105"/>
        <v>Compression Controls</v>
      </c>
      <c r="BY33" s="44" t="str">
        <f t="shared" si="106"/>
        <v>Compression Controls</v>
      </c>
      <c r="BZ33" s="43">
        <f t="shared" si="93"/>
        <v>2285.2616718438412</v>
      </c>
      <c r="CA33" s="43">
        <f t="shared" si="107"/>
        <v>2451.6066627031837</v>
      </c>
      <c r="CB33" s="43">
        <f t="shared" si="108"/>
        <v>2868.1183999999998</v>
      </c>
      <c r="CC33" s="43">
        <f t="shared" si="46"/>
        <v>1491.421568</v>
      </c>
      <c r="CD33" s="51" t="str">
        <f t="shared" si="47"/>
        <v xml:space="preserve">Safe </v>
      </c>
      <c r="CG33" s="43">
        <f t="shared" si="48"/>
        <v>308</v>
      </c>
      <c r="CH33" s="43">
        <f t="shared" si="94"/>
        <v>440</v>
      </c>
      <c r="CI33" s="43">
        <f t="shared" si="95"/>
        <v>221.8499682136046</v>
      </c>
      <c r="CJ33" s="52">
        <f t="shared" si="109"/>
        <v>10.727970885749491</v>
      </c>
      <c r="CK33" s="52">
        <f t="shared" si="110"/>
        <v>-4680.6143794595509</v>
      </c>
      <c r="CL33" s="52">
        <f t="shared" si="111"/>
        <v>97808.844336189373</v>
      </c>
      <c r="CM33" s="52">
        <f t="shared" si="112"/>
        <v>-69115200</v>
      </c>
      <c r="CN33" s="52">
        <f t="shared" si="113"/>
        <v>448.0444861244315</v>
      </c>
      <c r="CO33" s="53">
        <f t="shared" si="114"/>
        <v>2285.2616718438412</v>
      </c>
      <c r="CQ33" s="43">
        <f t="shared" si="115"/>
        <v>140</v>
      </c>
      <c r="CR33" s="43">
        <f t="shared" si="116"/>
        <v>45.492689129052764</v>
      </c>
      <c r="CS33" s="52">
        <f t="shared" si="117"/>
        <v>130.7902459474567</v>
      </c>
      <c r="CT33" s="52">
        <f t="shared" si="118"/>
        <v>-24721.268865287871</v>
      </c>
      <c r="CU33" s="52">
        <f t="shared" si="119"/>
        <v>92237.58121855784</v>
      </c>
      <c r="CV33" s="52">
        <f t="shared" si="120"/>
        <v>-21991200</v>
      </c>
      <c r="CW33" s="52">
        <f t="shared" si="121"/>
        <v>189.96164617543718</v>
      </c>
      <c r="CX33" s="53">
        <f t="shared" si="122"/>
        <v>2451.6066627031837</v>
      </c>
      <c r="CZ33" s="52">
        <f t="shared" si="123"/>
        <v>2380</v>
      </c>
      <c r="DA33" s="52">
        <f t="shared" si="124"/>
        <v>-1038394.1513032421</v>
      </c>
      <c r="DB33" s="54">
        <f t="shared" si="125"/>
        <v>-47997497.006993003</v>
      </c>
      <c r="DC33" s="54">
        <f t="shared" si="126"/>
        <v>478.45072697863276</v>
      </c>
      <c r="DD33" s="52">
        <f t="shared" si="127"/>
        <v>536.04357089551127</v>
      </c>
      <c r="DE33" s="52">
        <f t="shared" si="128"/>
        <v>-47997497.006993003</v>
      </c>
      <c r="DF33" s="52">
        <f t="shared" si="129"/>
        <v>478.45072697863276</v>
      </c>
      <c r="DG33" s="53">
        <f t="shared" si="130"/>
        <v>2270.0950604182917</v>
      </c>
      <c r="DI33" s="52">
        <f t="shared" si="96"/>
        <v>5950</v>
      </c>
      <c r="DJ33" s="52">
        <f t="shared" si="131"/>
        <v>-1124636.9993642722</v>
      </c>
      <c r="DK33" s="52">
        <f t="shared" si="132"/>
        <v>-10095847.608391609</v>
      </c>
      <c r="DL33" s="52">
        <f t="shared" si="133"/>
        <v>197.60150526962283</v>
      </c>
      <c r="DM33" s="52">
        <f t="shared" si="134"/>
        <v>183.84527016446978</v>
      </c>
      <c r="DN33" s="52">
        <f t="shared" si="135"/>
        <v>-7585935.6881592143</v>
      </c>
      <c r="DO33" s="52">
        <f t="shared" si="136"/>
        <v>195.53492582120924</v>
      </c>
      <c r="DP33" s="53">
        <f t="shared" si="137"/>
        <v>2246.7995604830467</v>
      </c>
      <c r="DT33" s="41" t="str">
        <f t="shared" si="84"/>
        <v>C230</v>
      </c>
      <c r="DU33" s="55">
        <f t="shared" si="85"/>
        <v>8</v>
      </c>
      <c r="DV33" s="56" t="str">
        <f t="shared" si="86"/>
        <v>φ</v>
      </c>
      <c r="DW33" s="57">
        <f t="shared" si="87"/>
        <v>14</v>
      </c>
    </row>
    <row r="34" spans="1:256" s="86" customFormat="1" ht="16.5" customHeight="1" thickTop="1" thickBot="1" x14ac:dyDescent="0.3">
      <c r="A34" s="72" t="s">
        <v>142</v>
      </c>
      <c r="B34" s="178" t="s">
        <v>181</v>
      </c>
      <c r="C34" s="93">
        <v>34</v>
      </c>
      <c r="D34" s="43">
        <v>200</v>
      </c>
      <c r="E34" s="43">
        <v>500</v>
      </c>
      <c r="F34" s="72">
        <v>2900</v>
      </c>
      <c r="G34" s="95">
        <v>710.55</v>
      </c>
      <c r="H34" s="95">
        <v>-2.2000000000000002</v>
      </c>
      <c r="I34" s="95">
        <v>16.11</v>
      </c>
      <c r="J34" s="95">
        <v>6.94</v>
      </c>
      <c r="K34" s="95">
        <v>0.28999999999999998</v>
      </c>
      <c r="L34" s="73">
        <f t="shared" si="0"/>
        <v>17.399999999999999</v>
      </c>
      <c r="M34" s="43">
        <f t="shared" si="1"/>
        <v>35.638733705772815</v>
      </c>
      <c r="N34" s="73" t="str">
        <f t="shared" si="2"/>
        <v>sho.col</v>
      </c>
      <c r="O34" s="76"/>
      <c r="P34" s="75">
        <f t="shared" si="3"/>
        <v>2.2000000000000002</v>
      </c>
      <c r="Q34" s="75">
        <f t="shared" si="4"/>
        <v>16.11</v>
      </c>
      <c r="R34" s="75">
        <f t="shared" si="5"/>
        <v>6.94</v>
      </c>
      <c r="S34" s="75">
        <f t="shared" si="6"/>
        <v>0.28999999999999998</v>
      </c>
      <c r="T34" s="76"/>
      <c r="U34" s="303"/>
      <c r="V34" s="318"/>
      <c r="W34" s="77" t="s">
        <v>99</v>
      </c>
      <c r="X34" s="73">
        <v>0</v>
      </c>
      <c r="Y34" s="73">
        <f>(Y31*Y32^3/12)/Y33</f>
        <v>1730769.2307692308</v>
      </c>
      <c r="Z34" s="305"/>
      <c r="AA34" s="305"/>
      <c r="AB34" s="305"/>
      <c r="AC34" s="305"/>
      <c r="AD34" s="334"/>
      <c r="AE34" s="303"/>
      <c r="AF34" s="76"/>
      <c r="AG34" s="76"/>
      <c r="AH34" s="76"/>
      <c r="AI34" s="76"/>
      <c r="AJ34" s="312" t="str">
        <f t="shared" si="7"/>
        <v>C231</v>
      </c>
      <c r="AK34" s="313"/>
      <c r="AL34" s="43">
        <v>200</v>
      </c>
      <c r="AM34" s="43">
        <v>500</v>
      </c>
      <c r="AN34" s="73">
        <f t="shared" si="8"/>
        <v>440</v>
      </c>
      <c r="AO34" s="73">
        <f t="shared" si="9"/>
        <v>710.55</v>
      </c>
      <c r="AP34" s="73">
        <f t="shared" si="10"/>
        <v>2.2000000000000002</v>
      </c>
      <c r="AQ34" s="73">
        <f t="shared" si="11"/>
        <v>6.94</v>
      </c>
      <c r="AR34" s="73">
        <f t="shared" si="12"/>
        <v>11.542307692307691</v>
      </c>
      <c r="AS34" s="73">
        <f t="shared" si="13"/>
        <v>7.413846153846154</v>
      </c>
      <c r="AT34" s="73">
        <f t="shared" si="14"/>
        <v>11.542307692307691</v>
      </c>
      <c r="AU34" s="73">
        <f t="shared" si="15"/>
        <v>1.6244187871800285E-2</v>
      </c>
      <c r="AV34" s="73" t="str">
        <f t="shared" si="16"/>
        <v>Compression</v>
      </c>
      <c r="AW34" s="73">
        <f t="shared" si="17"/>
        <v>1000</v>
      </c>
      <c r="AX34" s="73">
        <f t="shared" si="18"/>
        <v>250</v>
      </c>
      <c r="AY34" s="73">
        <f t="shared" si="19"/>
        <v>0.01</v>
      </c>
      <c r="AZ34" s="79">
        <f t="shared" si="20"/>
        <v>8</v>
      </c>
      <c r="BA34" s="80" t="s">
        <v>65</v>
      </c>
      <c r="BB34" s="81">
        <v>14</v>
      </c>
      <c r="BC34" s="95">
        <v>13.9</v>
      </c>
      <c r="BD34" s="73">
        <f t="shared" si="21"/>
        <v>61.734197258173779</v>
      </c>
      <c r="BE34" s="73">
        <f t="shared" si="22"/>
        <v>-43.200863924840455</v>
      </c>
      <c r="BF34" s="73">
        <f t="shared" si="23"/>
        <v>100</v>
      </c>
      <c r="BG34" s="73">
        <f t="shared" si="24"/>
        <v>500</v>
      </c>
      <c r="BH34" s="73" t="str">
        <f t="shared" si="25"/>
        <v>No Need Shear Reinf.</v>
      </c>
      <c r="BI34" s="82" t="str">
        <f t="shared" si="26"/>
        <v>Use Φ10@100mm</v>
      </c>
      <c r="BJ34" s="73">
        <f t="shared" si="27"/>
        <v>200</v>
      </c>
      <c r="BK34" s="73">
        <f t="shared" si="28"/>
        <v>500</v>
      </c>
      <c r="BL34" s="73">
        <f t="shared" si="29"/>
        <v>220</v>
      </c>
      <c r="BM34" s="73">
        <f t="shared" si="97"/>
        <v>70</v>
      </c>
      <c r="BN34" s="73">
        <f t="shared" si="98"/>
        <v>460.90909090909082</v>
      </c>
      <c r="BO34" s="73">
        <f t="shared" si="99"/>
        <v>162.85714285714292</v>
      </c>
      <c r="BP34" s="73">
        <f t="shared" si="100"/>
        <v>1039.8696</v>
      </c>
      <c r="BQ34" s="73">
        <f t="shared" si="101"/>
        <v>746.46960000000001</v>
      </c>
      <c r="BR34" s="73">
        <f t="shared" si="35"/>
        <v>194.37202400000001</v>
      </c>
      <c r="BS34" s="73">
        <f t="shared" si="102"/>
        <v>34.023783999999999</v>
      </c>
      <c r="BT34" s="73">
        <f t="shared" si="103"/>
        <v>0.18691961376695695</v>
      </c>
      <c r="BU34" s="73">
        <f t="shared" si="104"/>
        <v>4.5579597615227729E-2</v>
      </c>
      <c r="BV34" s="73">
        <f t="shared" si="39"/>
        <v>3.0961930898599681E-3</v>
      </c>
      <c r="BW34" s="73">
        <f t="shared" si="40"/>
        <v>9.7670818380128088E-3</v>
      </c>
      <c r="BX34" s="73" t="str">
        <f t="shared" si="105"/>
        <v>Compression Controls</v>
      </c>
      <c r="BY34" s="73" t="str">
        <f t="shared" si="106"/>
        <v>Compression Controls</v>
      </c>
      <c r="BZ34" s="73">
        <f t="shared" si="93"/>
        <v>2574.1565378603386</v>
      </c>
      <c r="CA34" s="73">
        <f t="shared" si="107"/>
        <v>2338.8214268420734</v>
      </c>
      <c r="CB34" s="73">
        <f t="shared" si="108"/>
        <v>2868.1183999999998</v>
      </c>
      <c r="CC34" s="73">
        <f t="shared" si="46"/>
        <v>1491.421568</v>
      </c>
      <c r="CD34" s="83" t="str">
        <f t="shared" si="47"/>
        <v xml:space="preserve">Safe </v>
      </c>
      <c r="CE34" s="76"/>
      <c r="CF34" s="76"/>
      <c r="CG34" s="73">
        <f t="shared" si="48"/>
        <v>308</v>
      </c>
      <c r="CH34" s="73">
        <f t="shared" si="94"/>
        <v>440</v>
      </c>
      <c r="CI34" s="73">
        <f t="shared" si="95"/>
        <v>193.09619308985998</v>
      </c>
      <c r="CJ34" s="73">
        <f t="shared" si="109"/>
        <v>12.325463086123268</v>
      </c>
      <c r="CK34" s="73">
        <f t="shared" si="110"/>
        <v>-6086.4075157884763</v>
      </c>
      <c r="CL34" s="73">
        <f t="shared" si="111"/>
        <v>66683.757360727977</v>
      </c>
      <c r="CM34" s="73">
        <f t="shared" si="112"/>
        <v>-69115200</v>
      </c>
      <c r="CN34" s="73">
        <f t="shared" si="113"/>
        <v>505.07726539539215</v>
      </c>
      <c r="CO34" s="73">
        <f t="shared" si="114"/>
        <v>2574.1565378603386</v>
      </c>
      <c r="CP34" s="76"/>
      <c r="CQ34" s="73">
        <f t="shared" si="115"/>
        <v>140</v>
      </c>
      <c r="CR34" s="73">
        <f t="shared" si="116"/>
        <v>49.767081838012814</v>
      </c>
      <c r="CS34" s="73">
        <f t="shared" si="117"/>
        <v>119.55693965273456</v>
      </c>
      <c r="CT34" s="73">
        <f t="shared" si="118"/>
        <v>-21575.943102765676</v>
      </c>
      <c r="CU34" s="73">
        <f t="shared" si="119"/>
        <v>110668.45011028791</v>
      </c>
      <c r="CV34" s="73">
        <f t="shared" si="120"/>
        <v>-21991200</v>
      </c>
      <c r="CW34" s="73">
        <f t="shared" si="121"/>
        <v>180.96739971781332</v>
      </c>
      <c r="CX34" s="73">
        <f t="shared" si="122"/>
        <v>2338.8214268420734</v>
      </c>
      <c r="CY34" s="76"/>
      <c r="CZ34" s="73">
        <f t="shared" si="123"/>
        <v>2380</v>
      </c>
      <c r="DA34" s="73">
        <f t="shared" si="124"/>
        <v>-1175262.1208922665</v>
      </c>
      <c r="DB34" s="75">
        <f t="shared" si="125"/>
        <v>-47786720.333825909</v>
      </c>
      <c r="DC34" s="75">
        <f t="shared" si="126"/>
        <v>531.57896175947928</v>
      </c>
      <c r="DD34" s="73">
        <f t="shared" si="127"/>
        <v>542.4356451227552</v>
      </c>
      <c r="DE34" s="73">
        <f t="shared" si="128"/>
        <v>-47786720.333825909</v>
      </c>
      <c r="DF34" s="73">
        <f t="shared" si="129"/>
        <v>531.57896175947928</v>
      </c>
      <c r="DG34" s="73">
        <f t="shared" si="130"/>
        <v>2522.9854579751218</v>
      </c>
      <c r="DH34" s="76"/>
      <c r="DI34" s="73">
        <f t="shared" si="96"/>
        <v>5950</v>
      </c>
      <c r="DJ34" s="73">
        <f t="shared" si="131"/>
        <v>-1073771.7261276476</v>
      </c>
      <c r="DK34" s="73">
        <f t="shared" si="132"/>
        <v>-10127180.616705369</v>
      </c>
      <c r="DL34" s="73">
        <f t="shared" si="133"/>
        <v>189.44998666584578</v>
      </c>
      <c r="DM34" s="73">
        <f t="shared" si="134"/>
        <v>156.27027774867753</v>
      </c>
      <c r="DN34" s="73">
        <f t="shared" si="135"/>
        <v>-7671398.3309153533</v>
      </c>
      <c r="DO34" s="73">
        <f t="shared" si="136"/>
        <v>187.34774794549244</v>
      </c>
      <c r="DP34" s="73">
        <f t="shared" si="137"/>
        <v>2140.8790460979531</v>
      </c>
      <c r="DQ34" s="76"/>
      <c r="DR34" s="76"/>
      <c r="DS34" s="76"/>
      <c r="DT34" s="41" t="str">
        <f t="shared" si="84"/>
        <v>C231</v>
      </c>
      <c r="DU34" s="55">
        <f t="shared" si="85"/>
        <v>8</v>
      </c>
      <c r="DV34" s="56" t="str">
        <f t="shared" si="86"/>
        <v>φ</v>
      </c>
      <c r="DW34" s="57">
        <f t="shared" si="87"/>
        <v>14</v>
      </c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spans="1:256" ht="16.5" customHeight="1" thickTop="1" thickBot="1" x14ac:dyDescent="0.3">
      <c r="A35" s="42" t="s">
        <v>142</v>
      </c>
      <c r="B35" s="178" t="s">
        <v>182</v>
      </c>
      <c r="C35" s="93">
        <v>8</v>
      </c>
      <c r="D35" s="43">
        <v>200</v>
      </c>
      <c r="E35" s="43">
        <v>500</v>
      </c>
      <c r="F35" s="42">
        <v>2900</v>
      </c>
      <c r="G35" s="95">
        <v>359.45</v>
      </c>
      <c r="H35" s="95">
        <v>2.33</v>
      </c>
      <c r="I35" s="95">
        <v>-2.5099999999999998</v>
      </c>
      <c r="J35" s="95">
        <v>5.16</v>
      </c>
      <c r="K35" s="95">
        <v>-0.75</v>
      </c>
      <c r="L35" s="43">
        <f t="shared" si="0"/>
        <v>17.399999999999999</v>
      </c>
      <c r="M35" s="43">
        <f t="shared" si="1"/>
        <v>45.139442231075698</v>
      </c>
      <c r="N35" s="44" t="str">
        <f t="shared" si="2"/>
        <v>sho.col</v>
      </c>
      <c r="O35" s="3"/>
      <c r="P35" s="46">
        <f t="shared" si="3"/>
        <v>2.33</v>
      </c>
      <c r="Q35" s="46">
        <f t="shared" si="4"/>
        <v>2.5099999999999998</v>
      </c>
      <c r="R35" s="46">
        <f t="shared" si="5"/>
        <v>5.16</v>
      </c>
      <c r="S35" s="46">
        <f t="shared" si="6"/>
        <v>0.75</v>
      </c>
      <c r="U35" s="288" t="s">
        <v>11</v>
      </c>
      <c r="V35" s="300" t="s">
        <v>100</v>
      </c>
      <c r="W35" s="15" t="s">
        <v>86</v>
      </c>
      <c r="X35" s="43">
        <v>500</v>
      </c>
      <c r="Y35" s="43">
        <v>500</v>
      </c>
      <c r="Z35" s="292">
        <v>1000</v>
      </c>
      <c r="AA35" s="292">
        <v>1000</v>
      </c>
      <c r="AB35" s="292">
        <v>4350</v>
      </c>
      <c r="AC35" s="292">
        <f>(Z35*AA35^3/12)/AB35</f>
        <v>19157088.122605361</v>
      </c>
      <c r="AD35" s="292">
        <f>(0.7*(AC35+AC37))/(0.35*(X38+Y38))</f>
        <v>17.302059352641479</v>
      </c>
      <c r="AE35" s="292" t="e">
        <f>MIN(MIN(1,(0.7+0.05*(AD35+#REF!))),MIN(1,(0.85+0.05*MIN(AD35,#REF!))))</f>
        <v>#REF!</v>
      </c>
      <c r="AJ35" s="306" t="str">
        <f t="shared" si="7"/>
        <v>C232</v>
      </c>
      <c r="AK35" s="307"/>
      <c r="AL35" s="43">
        <v>200</v>
      </c>
      <c r="AM35" s="43">
        <v>500</v>
      </c>
      <c r="AN35" s="43">
        <f t="shared" si="8"/>
        <v>440</v>
      </c>
      <c r="AO35" s="43">
        <f t="shared" si="9"/>
        <v>359.45</v>
      </c>
      <c r="AP35" s="43">
        <f t="shared" si="10"/>
        <v>2.33</v>
      </c>
      <c r="AQ35" s="43">
        <f t="shared" si="11"/>
        <v>5.16</v>
      </c>
      <c r="AR35" s="43">
        <f t="shared" si="12"/>
        <v>9.2761538461538464</v>
      </c>
      <c r="AS35" s="43">
        <f t="shared" si="13"/>
        <v>5.6618461538461542</v>
      </c>
      <c r="AT35" s="43">
        <f t="shared" si="14"/>
        <v>9.2761538461538464</v>
      </c>
      <c r="AU35" s="43">
        <f t="shared" si="15"/>
        <v>2.5806520645858526E-2</v>
      </c>
      <c r="AV35" s="44" t="str">
        <f t="shared" si="16"/>
        <v>Compression</v>
      </c>
      <c r="AW35" s="43">
        <f t="shared" si="17"/>
        <v>1000</v>
      </c>
      <c r="AX35" s="43">
        <f t="shared" si="18"/>
        <v>250</v>
      </c>
      <c r="AY35" s="43">
        <f t="shared" si="19"/>
        <v>0.01</v>
      </c>
      <c r="AZ35" s="47">
        <f t="shared" si="20"/>
        <v>8</v>
      </c>
      <c r="BA35" s="48" t="s">
        <v>65</v>
      </c>
      <c r="BB35" s="49">
        <v>14</v>
      </c>
      <c r="BC35" s="95">
        <v>160.97</v>
      </c>
      <c r="BD35" s="43">
        <f t="shared" si="21"/>
        <v>61.734197258173779</v>
      </c>
      <c r="BE35" s="43">
        <f t="shared" si="22"/>
        <v>152.89246940849287</v>
      </c>
      <c r="BF35" s="43">
        <f t="shared" si="23"/>
        <v>100</v>
      </c>
      <c r="BG35" s="43">
        <f t="shared" si="24"/>
        <v>500</v>
      </c>
      <c r="BH35" s="44">
        <f t="shared" si="25"/>
        <v>100</v>
      </c>
      <c r="BI35" s="50" t="str">
        <f t="shared" si="26"/>
        <v>Use Φ10@100mm</v>
      </c>
      <c r="BJ35" s="43">
        <f t="shared" si="27"/>
        <v>200</v>
      </c>
      <c r="BK35" s="43">
        <f t="shared" si="28"/>
        <v>500</v>
      </c>
      <c r="BL35" s="43">
        <f t="shared" si="29"/>
        <v>220</v>
      </c>
      <c r="BM35" s="43">
        <f t="shared" si="97"/>
        <v>70</v>
      </c>
      <c r="BN35" s="43">
        <f t="shared" si="98"/>
        <v>460.90909090909082</v>
      </c>
      <c r="BO35" s="43">
        <f t="shared" si="99"/>
        <v>162.85714285714292</v>
      </c>
      <c r="BP35" s="43">
        <f t="shared" si="100"/>
        <v>1039.8696</v>
      </c>
      <c r="BQ35" s="43">
        <f t="shared" si="101"/>
        <v>746.46960000000001</v>
      </c>
      <c r="BR35" s="43">
        <f t="shared" si="35"/>
        <v>194.37202400000001</v>
      </c>
      <c r="BS35" s="43">
        <f t="shared" si="102"/>
        <v>34.023783999999999</v>
      </c>
      <c r="BT35" s="43">
        <f t="shared" si="103"/>
        <v>0.18691961376695695</v>
      </c>
      <c r="BU35" s="43">
        <f t="shared" si="104"/>
        <v>4.5579597615227729E-2</v>
      </c>
      <c r="BV35" s="43">
        <f t="shared" si="39"/>
        <v>6.482125469467242E-3</v>
      </c>
      <c r="BW35" s="43">
        <f t="shared" si="40"/>
        <v>1.4355264988176382E-2</v>
      </c>
      <c r="BX35" s="44" t="str">
        <f t="shared" si="105"/>
        <v>Compression Controls</v>
      </c>
      <c r="BY35" s="44" t="str">
        <f t="shared" si="106"/>
        <v>Compression Controls</v>
      </c>
      <c r="BZ35" s="43">
        <f t="shared" si="93"/>
        <v>2539.9493242621725</v>
      </c>
      <c r="CA35" s="43">
        <f t="shared" si="107"/>
        <v>2217.5400731493137</v>
      </c>
      <c r="CB35" s="43">
        <f t="shared" si="108"/>
        <v>2868.1183999999998</v>
      </c>
      <c r="CC35" s="43">
        <f t="shared" si="46"/>
        <v>1491.421568</v>
      </c>
      <c r="CD35" s="51" t="str">
        <f t="shared" si="47"/>
        <v xml:space="preserve">Safe </v>
      </c>
      <c r="CG35" s="43">
        <f t="shared" si="48"/>
        <v>308</v>
      </c>
      <c r="CH35" s="43">
        <f t="shared" si="94"/>
        <v>440</v>
      </c>
      <c r="CI35" s="43">
        <f t="shared" si="95"/>
        <v>196.48212546946723</v>
      </c>
      <c r="CJ35" s="52">
        <f t="shared" si="109"/>
        <v>12.113061146469759</v>
      </c>
      <c r="CK35" s="52">
        <f t="shared" si="110"/>
        <v>-5899.4938088933895</v>
      </c>
      <c r="CL35" s="52">
        <f t="shared" si="111"/>
        <v>70822.136780624569</v>
      </c>
      <c r="CM35" s="52">
        <f t="shared" si="112"/>
        <v>-69115200</v>
      </c>
      <c r="CN35" s="52">
        <f t="shared" si="113"/>
        <v>498.28287359695867</v>
      </c>
      <c r="CO35" s="53">
        <f t="shared" si="114"/>
        <v>2539.9493242621725</v>
      </c>
      <c r="CQ35" s="43">
        <f t="shared" si="115"/>
        <v>140</v>
      </c>
      <c r="CR35" s="43">
        <f t="shared" si="116"/>
        <v>54.355264988176387</v>
      </c>
      <c r="CS35" s="52">
        <f t="shared" si="117"/>
        <v>109.46501689016274</v>
      </c>
      <c r="CT35" s="52">
        <f t="shared" si="118"/>
        <v>-18750.204729245568</v>
      </c>
      <c r="CU35" s="52">
        <f t="shared" si="119"/>
        <v>127226.61209949845</v>
      </c>
      <c r="CV35" s="52">
        <f t="shared" si="120"/>
        <v>-21991200</v>
      </c>
      <c r="CW35" s="52">
        <f t="shared" si="121"/>
        <v>171.34891659653161</v>
      </c>
      <c r="CX35" s="53">
        <f t="shared" si="122"/>
        <v>2217.5400731493137</v>
      </c>
      <c r="CZ35" s="52">
        <f t="shared" si="123"/>
        <v>2380</v>
      </c>
      <c r="DA35" s="52">
        <f t="shared" si="124"/>
        <v>-1159145.0827653359</v>
      </c>
      <c r="DB35" s="54">
        <f t="shared" si="125"/>
        <v>-47811540.572541378</v>
      </c>
      <c r="DC35" s="54">
        <f t="shared" si="126"/>
        <v>525.27989789310925</v>
      </c>
      <c r="DD35" s="52">
        <f t="shared" si="127"/>
        <v>541.74534353449246</v>
      </c>
      <c r="DE35" s="52">
        <f t="shared" si="128"/>
        <v>-47811540.572541378</v>
      </c>
      <c r="DF35" s="52">
        <f t="shared" si="129"/>
        <v>525.27989789310925</v>
      </c>
      <c r="DG35" s="53">
        <f t="shared" si="130"/>
        <v>2493.0019139712003</v>
      </c>
      <c r="DI35" s="52">
        <f t="shared" si="96"/>
        <v>5950</v>
      </c>
      <c r="DJ35" s="52">
        <f t="shared" si="131"/>
        <v>-1019172.3466407009</v>
      </c>
      <c r="DK35" s="52">
        <f t="shared" si="132"/>
        <v>-10160813.834469328</v>
      </c>
      <c r="DL35" s="52">
        <f t="shared" si="133"/>
        <v>180.73795474571406</v>
      </c>
      <c r="DM35" s="52">
        <f t="shared" si="134"/>
        <v>148.19294086763037</v>
      </c>
      <c r="DN35" s="52">
        <f t="shared" si="135"/>
        <v>-8013924.4726851797</v>
      </c>
      <c r="DO35" s="52">
        <f t="shared" si="136"/>
        <v>178.82144185361773</v>
      </c>
      <c r="DP35" s="53">
        <f t="shared" si="137"/>
        <v>2036.9281838452812</v>
      </c>
      <c r="DT35" s="41" t="str">
        <f t="shared" si="84"/>
        <v>C232</v>
      </c>
      <c r="DU35" s="55">
        <f t="shared" si="85"/>
        <v>8</v>
      </c>
      <c r="DV35" s="56" t="str">
        <f t="shared" si="86"/>
        <v>φ</v>
      </c>
      <c r="DW35" s="57">
        <f t="shared" si="87"/>
        <v>14</v>
      </c>
    </row>
    <row r="36" spans="1:256" ht="16.5" customHeight="1" thickTop="1" thickBot="1" x14ac:dyDescent="0.3">
      <c r="A36" s="42" t="s">
        <v>142</v>
      </c>
      <c r="B36" s="178" t="s">
        <v>183</v>
      </c>
      <c r="C36" s="93">
        <v>40</v>
      </c>
      <c r="D36" s="43">
        <v>200</v>
      </c>
      <c r="E36" s="43">
        <v>500</v>
      </c>
      <c r="F36" s="42">
        <v>2900</v>
      </c>
      <c r="G36" s="95">
        <v>341.33</v>
      </c>
      <c r="H36" s="95">
        <v>9.7100000000000009</v>
      </c>
      <c r="I36" s="95">
        <v>-8.82</v>
      </c>
      <c r="J36" s="95">
        <v>-6.68</v>
      </c>
      <c r="K36" s="95">
        <v>4.4000000000000004</v>
      </c>
      <c r="L36" s="43">
        <f t="shared" si="0"/>
        <v>17.399999999999999</v>
      </c>
      <c r="M36" s="43">
        <f t="shared" si="1"/>
        <v>44.900102986611742</v>
      </c>
      <c r="N36" s="44" t="str">
        <f t="shared" si="2"/>
        <v>sho.col</v>
      </c>
      <c r="O36" s="3"/>
      <c r="P36" s="46">
        <f t="shared" si="3"/>
        <v>9.7100000000000009</v>
      </c>
      <c r="Q36" s="46">
        <f t="shared" si="4"/>
        <v>8.82</v>
      </c>
      <c r="R36" s="46">
        <f t="shared" si="5"/>
        <v>6.68</v>
      </c>
      <c r="S36" s="46">
        <f t="shared" si="6"/>
        <v>4.4000000000000004</v>
      </c>
      <c r="U36" s="289"/>
      <c r="V36" s="298"/>
      <c r="W36" s="15" t="s">
        <v>97</v>
      </c>
      <c r="X36" s="43">
        <v>600</v>
      </c>
      <c r="Y36" s="43">
        <v>600</v>
      </c>
      <c r="Z36" s="295"/>
      <c r="AA36" s="295"/>
      <c r="AB36" s="295"/>
      <c r="AC36" s="295"/>
      <c r="AD36" s="293"/>
      <c r="AE36" s="293"/>
      <c r="AJ36" s="306" t="str">
        <f t="shared" si="7"/>
        <v>C233</v>
      </c>
      <c r="AK36" s="307"/>
      <c r="AL36" s="43">
        <v>200</v>
      </c>
      <c r="AM36" s="43">
        <v>500</v>
      </c>
      <c r="AN36" s="43">
        <f t="shared" si="8"/>
        <v>440</v>
      </c>
      <c r="AO36" s="43">
        <f t="shared" si="9"/>
        <v>341.33</v>
      </c>
      <c r="AP36" s="43">
        <f t="shared" si="10"/>
        <v>9.7100000000000009</v>
      </c>
      <c r="AQ36" s="43">
        <f t="shared" si="11"/>
        <v>6.68</v>
      </c>
      <c r="AR36" s="43">
        <f t="shared" si="12"/>
        <v>18.702307692307691</v>
      </c>
      <c r="AS36" s="43">
        <f t="shared" si="13"/>
        <v>8.7713846153846156</v>
      </c>
      <c r="AT36" s="43">
        <f t="shared" si="14"/>
        <v>18.702307692307691</v>
      </c>
      <c r="AU36" s="43">
        <f t="shared" si="15"/>
        <v>5.4792452149848216E-2</v>
      </c>
      <c r="AV36" s="44" t="str">
        <f t="shared" si="16"/>
        <v>Compression</v>
      </c>
      <c r="AW36" s="43">
        <f t="shared" si="17"/>
        <v>1000</v>
      </c>
      <c r="AX36" s="43">
        <f t="shared" si="18"/>
        <v>250</v>
      </c>
      <c r="AY36" s="43">
        <f t="shared" si="19"/>
        <v>0.01</v>
      </c>
      <c r="AZ36" s="47">
        <f t="shared" si="20"/>
        <v>8</v>
      </c>
      <c r="BA36" s="48" t="s">
        <v>65</v>
      </c>
      <c r="BB36" s="49">
        <v>14</v>
      </c>
      <c r="BC36" s="95">
        <v>5.62</v>
      </c>
      <c r="BD36" s="43">
        <f t="shared" si="21"/>
        <v>61.734197258173779</v>
      </c>
      <c r="BE36" s="43">
        <f t="shared" si="22"/>
        <v>-54.240863924840454</v>
      </c>
      <c r="BF36" s="43">
        <f t="shared" si="23"/>
        <v>100</v>
      </c>
      <c r="BG36" s="43">
        <f t="shared" si="24"/>
        <v>500</v>
      </c>
      <c r="BH36" s="44" t="str">
        <f t="shared" si="25"/>
        <v>No Need Shear Reinf.</v>
      </c>
      <c r="BI36" s="50" t="str">
        <f t="shared" si="26"/>
        <v>Use Φ10@100mm</v>
      </c>
      <c r="BJ36" s="43">
        <f t="shared" si="27"/>
        <v>200</v>
      </c>
      <c r="BK36" s="43">
        <f t="shared" si="28"/>
        <v>500</v>
      </c>
      <c r="BL36" s="43">
        <f t="shared" si="29"/>
        <v>220</v>
      </c>
      <c r="BM36" s="43">
        <f t="shared" si="97"/>
        <v>70</v>
      </c>
      <c r="BN36" s="43">
        <f t="shared" si="98"/>
        <v>460.90909090909082</v>
      </c>
      <c r="BO36" s="43">
        <f t="shared" si="99"/>
        <v>162.85714285714292</v>
      </c>
      <c r="BP36" s="43">
        <f t="shared" si="100"/>
        <v>1039.8696</v>
      </c>
      <c r="BQ36" s="43">
        <f t="shared" si="101"/>
        <v>746.46960000000001</v>
      </c>
      <c r="BR36" s="43">
        <f t="shared" si="35"/>
        <v>194.37202400000001</v>
      </c>
      <c r="BS36" s="43">
        <f t="shared" si="102"/>
        <v>34.023783999999999</v>
      </c>
      <c r="BT36" s="43">
        <f t="shared" si="103"/>
        <v>0.18691961376695695</v>
      </c>
      <c r="BU36" s="43">
        <f t="shared" si="104"/>
        <v>4.5579597615227729E-2</v>
      </c>
      <c r="BV36" s="43">
        <f t="shared" si="39"/>
        <v>2.8447543433041341E-2</v>
      </c>
      <c r="BW36" s="43">
        <f t="shared" si="40"/>
        <v>1.9570503618199397E-2</v>
      </c>
      <c r="BX36" s="44" t="str">
        <f t="shared" si="105"/>
        <v>Compression Controls</v>
      </c>
      <c r="BY36" s="44" t="str">
        <f t="shared" si="106"/>
        <v>Compression Controls</v>
      </c>
      <c r="BZ36" s="43">
        <f t="shared" si="93"/>
        <v>2319.2060679617098</v>
      </c>
      <c r="CA36" s="43">
        <f t="shared" si="107"/>
        <v>2079.6276254112236</v>
      </c>
      <c r="CB36" s="43">
        <f t="shared" si="108"/>
        <v>2868.1183999999998</v>
      </c>
      <c r="CC36" s="43">
        <f t="shared" si="46"/>
        <v>1491.421568</v>
      </c>
      <c r="CD36" s="51" t="str">
        <f t="shared" si="47"/>
        <v xml:space="preserve">Safe </v>
      </c>
      <c r="CG36" s="43">
        <f t="shared" si="48"/>
        <v>308</v>
      </c>
      <c r="CH36" s="43">
        <f t="shared" si="94"/>
        <v>440</v>
      </c>
      <c r="CI36" s="43">
        <f t="shared" si="95"/>
        <v>218.44754343304135</v>
      </c>
      <c r="CJ36" s="52">
        <f t="shared" si="109"/>
        <v>10.895064154060945</v>
      </c>
      <c r="CK36" s="52">
        <f t="shared" si="110"/>
        <v>-4827.6564555736313</v>
      </c>
      <c r="CL36" s="52">
        <f t="shared" si="111"/>
        <v>94553.246275684767</v>
      </c>
      <c r="CM36" s="52">
        <f t="shared" si="112"/>
        <v>-69115200</v>
      </c>
      <c r="CN36" s="52">
        <f t="shared" si="113"/>
        <v>454.70122242046534</v>
      </c>
      <c r="CO36" s="53">
        <f t="shared" si="114"/>
        <v>2319.2060679617098</v>
      </c>
      <c r="CQ36" s="43">
        <f t="shared" si="115"/>
        <v>140</v>
      </c>
      <c r="CR36" s="43">
        <f t="shared" si="116"/>
        <v>59.570503618199396</v>
      </c>
      <c r="CS36" s="52">
        <f t="shared" si="117"/>
        <v>99.881646764896814</v>
      </c>
      <c r="CT36" s="52">
        <f t="shared" si="118"/>
        <v>-16066.86109417111</v>
      </c>
      <c r="CU36" s="52">
        <f t="shared" si="119"/>
        <v>142950.37442606181</v>
      </c>
      <c r="CV36" s="52">
        <f t="shared" si="120"/>
        <v>-21991200</v>
      </c>
      <c r="CW36" s="52">
        <f t="shared" si="121"/>
        <v>160.48940294225213</v>
      </c>
      <c r="CX36" s="53">
        <f t="shared" si="122"/>
        <v>2079.6276254112236</v>
      </c>
      <c r="CZ36" s="52">
        <f t="shared" si="123"/>
        <v>2380</v>
      </c>
      <c r="DA36" s="52">
        <f t="shared" si="124"/>
        <v>-1054589.6932587232</v>
      </c>
      <c r="DB36" s="54">
        <f t="shared" si="125"/>
        <v>-47972555.872381568</v>
      </c>
      <c r="DC36" s="54">
        <f t="shared" si="126"/>
        <v>484.69125471669309</v>
      </c>
      <c r="DD36" s="52">
        <f t="shared" si="127"/>
        <v>536.86702678824679</v>
      </c>
      <c r="DE36" s="52">
        <f t="shared" si="128"/>
        <v>-47972555.872381568</v>
      </c>
      <c r="DF36" s="52">
        <f t="shared" si="129"/>
        <v>484.69125471669309</v>
      </c>
      <c r="DG36" s="53">
        <f t="shared" si="130"/>
        <v>2299.7999724514598</v>
      </c>
      <c r="DI36" s="52">
        <f t="shared" si="96"/>
        <v>5950</v>
      </c>
      <c r="DJ36" s="52">
        <f t="shared" si="131"/>
        <v>-957111.00694342714</v>
      </c>
      <c r="DK36" s="52">
        <f t="shared" si="132"/>
        <v>-10199043.619722849</v>
      </c>
      <c r="DL36" s="52">
        <f t="shared" si="133"/>
        <v>170.88959181804671</v>
      </c>
      <c r="DM36" s="52">
        <f t="shared" si="134"/>
        <v>148.41149781601493</v>
      </c>
      <c r="DN36" s="52">
        <f t="shared" si="135"/>
        <v>-8490131.3923292868</v>
      </c>
      <c r="DO36" s="52">
        <f t="shared" si="136"/>
        <v>169.28790469118354</v>
      </c>
      <c r="DP36" s="53">
        <f t="shared" si="137"/>
        <v>1923.5464071524168</v>
      </c>
      <c r="DT36" s="41" t="str">
        <f t="shared" si="84"/>
        <v>C233</v>
      </c>
      <c r="DU36" s="55">
        <f t="shared" si="85"/>
        <v>8</v>
      </c>
      <c r="DV36" s="56" t="str">
        <f t="shared" si="86"/>
        <v>φ</v>
      </c>
      <c r="DW36" s="57">
        <f t="shared" si="87"/>
        <v>14</v>
      </c>
    </row>
    <row r="37" spans="1:256" ht="15.75" customHeight="1" thickTop="1" thickBot="1" x14ac:dyDescent="0.3">
      <c r="A37" s="42" t="s">
        <v>142</v>
      </c>
      <c r="B37" s="178" t="s">
        <v>184</v>
      </c>
      <c r="C37" s="93">
        <v>16</v>
      </c>
      <c r="D37" s="43">
        <v>200</v>
      </c>
      <c r="E37" s="43">
        <v>500</v>
      </c>
      <c r="F37" s="42">
        <v>2900</v>
      </c>
      <c r="G37" s="95">
        <v>583.23</v>
      </c>
      <c r="H37" s="95">
        <v>39.840000000000003</v>
      </c>
      <c r="I37" s="95">
        <v>0.22</v>
      </c>
      <c r="J37" s="95">
        <v>-7.23</v>
      </c>
      <c r="K37" s="95">
        <v>8.0399999999999991</v>
      </c>
      <c r="L37" s="43">
        <f t="shared" ref="L37:L55" si="138">(0.9*F37)/(0.3*E37)</f>
        <v>17.399999999999999</v>
      </c>
      <c r="M37" s="43">
        <f t="shared" ref="M37:M55" si="139">IF(P37&gt;Q37,(34-12*I37/H37),(34-12*H37/I37))</f>
        <v>33.933734939759034</v>
      </c>
      <c r="N37" s="44" t="str">
        <f t="shared" ref="N37:N55" si="140">IF(L37&lt;=M37,"sho.col","long.col")</f>
        <v>sho.col</v>
      </c>
      <c r="O37" s="3"/>
      <c r="P37" s="46">
        <f t="shared" ref="P37:P56" si="141">ABS(H37)</f>
        <v>39.840000000000003</v>
      </c>
      <c r="Q37" s="46">
        <f t="shared" ref="Q37:Q56" si="142">ABS(I37)</f>
        <v>0.22</v>
      </c>
      <c r="R37" s="46">
        <f t="shared" ref="R37:R56" si="143">ABS(J37)</f>
        <v>7.23</v>
      </c>
      <c r="S37" s="46">
        <f t="shared" ref="S37:S56" si="144">ABS(K37)</f>
        <v>8.0399999999999991</v>
      </c>
      <c r="U37" s="289"/>
      <c r="V37" s="298"/>
      <c r="W37" s="15" t="s">
        <v>98</v>
      </c>
      <c r="X37" s="43">
        <v>10300</v>
      </c>
      <c r="Y37" s="43">
        <v>5200</v>
      </c>
      <c r="Z37" s="292">
        <f>D9</f>
        <v>300</v>
      </c>
      <c r="AA37" s="292">
        <f>E9</f>
        <v>600</v>
      </c>
      <c r="AB37" s="292">
        <f>F9</f>
        <v>1600</v>
      </c>
      <c r="AC37" s="292">
        <f>(Z37*AA37^3/12)/AB37</f>
        <v>3375000</v>
      </c>
      <c r="AD37" s="293"/>
      <c r="AE37" s="293"/>
      <c r="AJ37" s="306" t="str">
        <f t="shared" ref="AJ37:AJ55" si="145">B37</f>
        <v>C234</v>
      </c>
      <c r="AK37" s="307"/>
      <c r="AL37" s="43">
        <v>200</v>
      </c>
      <c r="AM37" s="43">
        <v>500</v>
      </c>
      <c r="AN37" s="43">
        <f t="shared" ref="AN37:AN55" si="146">AM37-60</f>
        <v>440</v>
      </c>
      <c r="AO37" s="43">
        <f t="shared" ref="AO37:AO55" si="147">G37</f>
        <v>583.23</v>
      </c>
      <c r="AP37" s="43">
        <f t="shared" ref="AP37:AP55" si="148">P37</f>
        <v>39.840000000000003</v>
      </c>
      <c r="AQ37" s="43">
        <f t="shared" ref="AQ37:AQ55" si="149">R37</f>
        <v>7.23</v>
      </c>
      <c r="AR37" s="43">
        <f t="shared" ref="AR37:AR55" si="150">AP37+(AQ37*AM37/AL37*((1-AS$2)/AS$2))</f>
        <v>49.572692307692307</v>
      </c>
      <c r="AS37" s="43">
        <f t="shared" ref="AS37:AS55" si="151">AQ37+(AP37*AL37/AM37*((1-AS$2)/AS$2))</f>
        <v>15.810923076923078</v>
      </c>
      <c r="AT37" s="43">
        <f t="shared" ref="AT37:AT55" si="152">MAX(AR37:AS37)</f>
        <v>49.572692307692307</v>
      </c>
      <c r="AU37" s="43">
        <f t="shared" ref="AU37:AU55" si="153">AT37/AO37</f>
        <v>8.4996814820383557E-2</v>
      </c>
      <c r="AV37" s="44" t="str">
        <f t="shared" ref="AV37:AV55" si="154">IF(AU37&lt;=1,"Compression","Tention")</f>
        <v>Compression</v>
      </c>
      <c r="AW37" s="43">
        <f t="shared" ref="AW37:AW55" si="155">IF(MAX(AP37*1000/AO37,AQ37*1000/AO37)&gt;0.1*AM37,IF(IF(AV37="Compression",2*(0.5+AU37*10^3/(AN37-BD$2))*(-AL37*AM$2*AM37/(1.18+3*AU37*10^3*AM37/AN37^2)+AO37*10^3/AU$2)/AO$2,2*AO37*1000*(AU37*1000-0.5*AM37+0.2*AN37)/(AU$2*fy*(AN37-BD$2)))&lt;0.01*AL37*AM37,(0.01*AL37*AM37),IF(AV37="Compression",2*(0.5+AU37*10^3/(AN37-60))*(-AL37*AM$2*AM37/(1.18+3*AU37*10^3*AM37/AN37^2)+AO37*10^3/AU$2)/AO$2,2*AO37*1000*(AU37*1000-0.5*AM37+0.2*AN37)/(AU$2*fy*(AN37-BD$2)))),MAX((AO37*1000/(0.8*AU$2)-0.85*fc*AL37*AM37)/(fy-0.85*fc),0.01*AL37*AM37))</f>
        <v>1000</v>
      </c>
      <c r="AX37" s="43">
        <f t="shared" ref="AX37:AX55" si="156">AW37/4</f>
        <v>250</v>
      </c>
      <c r="AY37" s="43">
        <f t="shared" ref="AY37:AY55" si="157">AW37/(AL37*AM37)</f>
        <v>0.01</v>
      </c>
      <c r="AZ37" s="47">
        <f t="shared" ref="AZ37:AZ55" si="158">EVEN(AW37/(PI()*BB37^2/4))</f>
        <v>8</v>
      </c>
      <c r="BA37" s="48" t="s">
        <v>65</v>
      </c>
      <c r="BB37" s="49">
        <v>14</v>
      </c>
      <c r="BC37" s="95">
        <v>12.01</v>
      </c>
      <c r="BD37" s="43">
        <f t="shared" ref="BD37:BD55" si="159">MIN(fc^0.5*AL37*AN37/(6*1000),fc^0.5*(AL37-60)*AM37/(6*1000))</f>
        <v>61.734197258173779</v>
      </c>
      <c r="BE37" s="43">
        <f t="shared" si="22"/>
        <v>-45.720863924840451</v>
      </c>
      <c r="BF37" s="43">
        <f t="shared" ref="BF37:BF55" si="160">FLOOR(MIN(AL37/2,MIN((3*AZ$2*BI$2/AM37),(16*AZ$2*BI$2/(fc^0.5*AM37))),(8*BB37),(24*AX$2),300),10)</f>
        <v>100</v>
      </c>
      <c r="BG37" s="43">
        <f t="shared" ref="BG37:BG55" si="161">MAX(MAX(AL37,AM37),(F37/6),450)</f>
        <v>500</v>
      </c>
      <c r="BH37" s="44" t="str">
        <f t="shared" si="25"/>
        <v>No Need Shear Reinf.</v>
      </c>
      <c r="BI37" s="50" t="str">
        <f t="shared" ref="BI37:BI55" si="162">IF(BH37="No Need Shear Reinf.","Use Φ"&amp;AX$2&amp;"@"&amp;MIN(BF37,BH37)&amp;"mm",IF(BH37="Increase b &amp; d","Increase b &amp; d","Use Φ"&amp;AX$2&amp;"@"&amp;MIN(BF37,BH37)&amp;"mm"))</f>
        <v>Use Φ10@100mm</v>
      </c>
      <c r="BJ37" s="43">
        <f t="shared" ref="BJ37:BJ55" si="163">AL37</f>
        <v>200</v>
      </c>
      <c r="BK37" s="43">
        <f t="shared" ref="BK37:BK55" si="164">AM37</f>
        <v>500</v>
      </c>
      <c r="BL37" s="43">
        <f t="shared" ref="BL37:BL55" si="165">0.85*(600*AN37)/(600+fy)</f>
        <v>220</v>
      </c>
      <c r="BM37" s="43">
        <f t="shared" si="97"/>
        <v>70</v>
      </c>
      <c r="BN37" s="43">
        <f t="shared" si="98"/>
        <v>460.90909090909082</v>
      </c>
      <c r="BO37" s="43">
        <f t="shared" si="99"/>
        <v>162.85714285714292</v>
      </c>
      <c r="BP37" s="43">
        <f t="shared" si="100"/>
        <v>1039.8696</v>
      </c>
      <c r="BQ37" s="43">
        <f t="shared" si="101"/>
        <v>746.46960000000001</v>
      </c>
      <c r="BR37" s="43">
        <f t="shared" ref="BR37:BR55" si="166">IF(BN37&gt;fy,(0.85*fc*BL37*BJ37*(BK37/2-BL37/2)+CG37*(fy-0.85*fc)*(BK37/2-60)+CG37*fy*(BK37/2-60)),(0.85*fc*BL37*BJ37*(AN37-BL37/2-60)+CG37*(BN37-0.85*fc)*(BK37/2-60)+CG37*fy*(BK37/2-60)))/1000000</f>
        <v>194.37202400000001</v>
      </c>
      <c r="BS37" s="43">
        <f t="shared" si="102"/>
        <v>34.023783999999999</v>
      </c>
      <c r="BT37" s="43">
        <f t="shared" si="103"/>
        <v>0.18691961376695695</v>
      </c>
      <c r="BU37" s="43">
        <f t="shared" si="104"/>
        <v>4.5579597615227729E-2</v>
      </c>
      <c r="BV37" s="43">
        <f t="shared" ref="BV37:BV55" si="167">AP37/AO37</f>
        <v>6.8309243351679441E-2</v>
      </c>
      <c r="BW37" s="43">
        <f t="shared" ref="BW37:BW55" si="168">AQ37/AO37</f>
        <v>1.2396481662465923E-2</v>
      </c>
      <c r="BX37" s="44" t="str">
        <f t="shared" si="105"/>
        <v>Compression Controls</v>
      </c>
      <c r="BY37" s="44" t="str">
        <f t="shared" si="106"/>
        <v>Compression Controls</v>
      </c>
      <c r="BZ37" s="43">
        <f t="shared" si="93"/>
        <v>1929.1576134355678</v>
      </c>
      <c r="CA37" s="43">
        <f t="shared" si="107"/>
        <v>2269.3359651253058</v>
      </c>
      <c r="CB37" s="43">
        <f t="shared" si="108"/>
        <v>2868.1183999999998</v>
      </c>
      <c r="CC37" s="43">
        <f t="shared" ref="CC37:CC55" si="169">IF(MAX(AP37*1000/AO37,AQ37*1000/AO37)&gt;0.1*AM37,AU$2/(1/BZ37+1/CA37-1/CB37),AU$2*0.8*CB37)</f>
        <v>1064.9490100558633</v>
      </c>
      <c r="CD37" s="51" t="str">
        <f t="shared" ref="CD37:CD55" si="170">IF(CC37&gt;=AO37,"Safe ","Unsafe")</f>
        <v xml:space="preserve">Safe </v>
      </c>
      <c r="CG37" s="43">
        <f t="shared" ref="CG37:CG55" si="171">(AZ37*0.25*22/7*BB37^2)/4</f>
        <v>308</v>
      </c>
      <c r="CH37" s="43">
        <f t="shared" si="94"/>
        <v>440</v>
      </c>
      <c r="CI37" s="43">
        <f t="shared" si="95"/>
        <v>258.30924335167947</v>
      </c>
      <c r="CJ37" s="52">
        <f t="shared" si="109"/>
        <v>9.2137624233590003</v>
      </c>
      <c r="CK37" s="52">
        <f t="shared" si="110"/>
        <v>-3348.11093255592</v>
      </c>
      <c r="CL37" s="52">
        <f t="shared" si="111"/>
        <v>127311.25447619277</v>
      </c>
      <c r="CM37" s="52">
        <f t="shared" si="112"/>
        <v>-69115200</v>
      </c>
      <c r="CN37" s="52">
        <f t="shared" si="113"/>
        <v>379.12402549456704</v>
      </c>
      <c r="CO37" s="53">
        <f t="shared" si="114"/>
        <v>1929.1576134355678</v>
      </c>
      <c r="CQ37" s="43">
        <f t="shared" si="115"/>
        <v>140</v>
      </c>
      <c r="CR37" s="43">
        <f t="shared" si="116"/>
        <v>52.396481662465931</v>
      </c>
      <c r="CS37" s="52">
        <f t="shared" si="117"/>
        <v>113.55724299065419</v>
      </c>
      <c r="CT37" s="52">
        <f t="shared" si="118"/>
        <v>-19896.028037383174</v>
      </c>
      <c r="CU37" s="52">
        <f t="shared" si="119"/>
        <v>120512.35711929634</v>
      </c>
      <c r="CV37" s="52">
        <f t="shared" si="120"/>
        <v>-21991200</v>
      </c>
      <c r="CW37" s="52">
        <f t="shared" si="121"/>
        <v>175.44944966999424</v>
      </c>
      <c r="CX37" s="53">
        <f t="shared" si="122"/>
        <v>2269.3359651253058</v>
      </c>
      <c r="CZ37" s="52">
        <f t="shared" si="123"/>
        <v>2380</v>
      </c>
      <c r="DA37" s="52">
        <f t="shared" si="124"/>
        <v>-864848.00164600578</v>
      </c>
      <c r="DB37" s="54">
        <f t="shared" si="125"/>
        <v>-48264758.077465147</v>
      </c>
      <c r="DC37" s="54">
        <f t="shared" si="126"/>
        <v>412.53884775591717</v>
      </c>
      <c r="DD37" s="52">
        <f t="shared" si="127"/>
        <v>525.82516733525949</v>
      </c>
      <c r="DE37" s="52">
        <f t="shared" si="128"/>
        <v>-48264758.077465147</v>
      </c>
      <c r="DF37" s="52">
        <f t="shared" si="129"/>
        <v>412.53884775591717</v>
      </c>
      <c r="DG37" s="53">
        <f t="shared" si="130"/>
        <v>1956.354515318166</v>
      </c>
      <c r="DI37" s="52">
        <f t="shared" si="96"/>
        <v>5950</v>
      </c>
      <c r="DJ37" s="52">
        <f t="shared" si="131"/>
        <v>-1042481.8682166554</v>
      </c>
      <c r="DK37" s="52">
        <f t="shared" si="132"/>
        <v>-10146455.16917854</v>
      </c>
      <c r="DL37" s="52">
        <f t="shared" si="133"/>
        <v>184.45217866987883</v>
      </c>
      <c r="DM37" s="52">
        <f t="shared" si="134"/>
        <v>194.093980815359</v>
      </c>
      <c r="DN37" s="52">
        <f t="shared" si="135"/>
        <v>-8225828.4786967915</v>
      </c>
      <c r="DO37" s="52">
        <f t="shared" si="136"/>
        <v>182.7711000363891</v>
      </c>
      <c r="DP37" s="53">
        <f t="shared" si="137"/>
        <v>2098.0666365241609</v>
      </c>
      <c r="DT37" s="41" t="str">
        <f t="shared" si="84"/>
        <v>C234</v>
      </c>
      <c r="DU37" s="55">
        <f t="shared" si="85"/>
        <v>8</v>
      </c>
      <c r="DV37" s="56" t="str">
        <f t="shared" si="86"/>
        <v>φ</v>
      </c>
      <c r="DW37" s="57">
        <f t="shared" si="87"/>
        <v>14</v>
      </c>
    </row>
    <row r="38" spans="1:256" ht="15.75" customHeight="1" thickTop="1" thickBot="1" x14ac:dyDescent="0.3">
      <c r="A38" s="42" t="s">
        <v>142</v>
      </c>
      <c r="B38" s="178" t="s">
        <v>185</v>
      </c>
      <c r="C38" s="93">
        <v>28</v>
      </c>
      <c r="D38" s="43">
        <v>300</v>
      </c>
      <c r="E38" s="43">
        <v>500</v>
      </c>
      <c r="F38" s="42">
        <v>2900</v>
      </c>
      <c r="G38" s="95">
        <v>549.16</v>
      </c>
      <c r="H38" s="95">
        <v>25.33</v>
      </c>
      <c r="I38" s="95">
        <v>-2.58</v>
      </c>
      <c r="J38" s="95">
        <v>2.62</v>
      </c>
      <c r="K38" s="95">
        <v>2.62</v>
      </c>
      <c r="L38" s="43">
        <f t="shared" si="138"/>
        <v>17.399999999999999</v>
      </c>
      <c r="M38" s="43">
        <f t="shared" si="139"/>
        <v>35.222266087643114</v>
      </c>
      <c r="N38" s="44" t="str">
        <f t="shared" si="140"/>
        <v>sho.col</v>
      </c>
      <c r="O38" s="3"/>
      <c r="P38" s="46">
        <f t="shared" si="141"/>
        <v>25.33</v>
      </c>
      <c r="Q38" s="46">
        <f t="shared" si="142"/>
        <v>2.58</v>
      </c>
      <c r="R38" s="46">
        <f t="shared" si="143"/>
        <v>2.62</v>
      </c>
      <c r="S38" s="46">
        <f t="shared" si="144"/>
        <v>2.62</v>
      </c>
      <c r="U38" s="289"/>
      <c r="V38" s="301"/>
      <c r="W38" s="15" t="s">
        <v>99</v>
      </c>
      <c r="X38" s="43">
        <f>(X35*X36^3/12)/X37</f>
        <v>873786.40776699025</v>
      </c>
      <c r="Y38" s="43">
        <f>(Y35*Y36^3/12)/Y37</f>
        <v>1730769.2307692308</v>
      </c>
      <c r="Z38" s="293"/>
      <c r="AA38" s="293"/>
      <c r="AB38" s="293"/>
      <c r="AC38" s="295"/>
      <c r="AD38" s="294"/>
      <c r="AE38" s="293"/>
      <c r="AJ38" s="306" t="str">
        <f t="shared" si="145"/>
        <v>C235</v>
      </c>
      <c r="AK38" s="307"/>
      <c r="AL38" s="43">
        <v>300</v>
      </c>
      <c r="AM38" s="43">
        <v>500</v>
      </c>
      <c r="AN38" s="43">
        <f t="shared" si="146"/>
        <v>440</v>
      </c>
      <c r="AO38" s="43">
        <f t="shared" si="147"/>
        <v>549.16</v>
      </c>
      <c r="AP38" s="43">
        <f t="shared" si="148"/>
        <v>25.33</v>
      </c>
      <c r="AQ38" s="43">
        <f t="shared" si="149"/>
        <v>2.62</v>
      </c>
      <c r="AR38" s="43">
        <f t="shared" si="150"/>
        <v>27.68128205128205</v>
      </c>
      <c r="AS38" s="43">
        <f t="shared" si="151"/>
        <v>10.803538461538462</v>
      </c>
      <c r="AT38" s="43">
        <f t="shared" si="152"/>
        <v>27.68128205128205</v>
      </c>
      <c r="AU38" s="43">
        <f t="shared" si="153"/>
        <v>5.0406588337246067E-2</v>
      </c>
      <c r="AV38" s="44" t="str">
        <f t="shared" si="154"/>
        <v>Compression</v>
      </c>
      <c r="AW38" s="43">
        <f t="shared" si="155"/>
        <v>1500</v>
      </c>
      <c r="AX38" s="43">
        <f t="shared" si="156"/>
        <v>375</v>
      </c>
      <c r="AY38" s="43">
        <f t="shared" si="157"/>
        <v>0.01</v>
      </c>
      <c r="AZ38" s="47">
        <f t="shared" si="158"/>
        <v>10</v>
      </c>
      <c r="BA38" s="48" t="s">
        <v>65</v>
      </c>
      <c r="BB38" s="49">
        <v>14</v>
      </c>
      <c r="BC38" s="95">
        <v>8.4600000000000009</v>
      </c>
      <c r="BD38" s="43">
        <f t="shared" si="159"/>
        <v>105.83005244258362</v>
      </c>
      <c r="BE38" s="43">
        <f t="shared" si="22"/>
        <v>-94.550052442583635</v>
      </c>
      <c r="BF38" s="43">
        <f t="shared" si="160"/>
        <v>110</v>
      </c>
      <c r="BG38" s="43">
        <f t="shared" si="161"/>
        <v>500</v>
      </c>
      <c r="BH38" s="44" t="str">
        <f t="shared" si="25"/>
        <v>No Need Shear Reinf.</v>
      </c>
      <c r="BI38" s="50" t="str">
        <f t="shared" si="162"/>
        <v>Use Φ10@110mm</v>
      </c>
      <c r="BJ38" s="43">
        <f t="shared" si="163"/>
        <v>300</v>
      </c>
      <c r="BK38" s="43">
        <f t="shared" si="164"/>
        <v>500</v>
      </c>
      <c r="BL38" s="43">
        <f t="shared" si="165"/>
        <v>220</v>
      </c>
      <c r="BM38" s="43">
        <f t="shared" ref="BM38:BM55" si="172">0.85*(600*(BJ38-60))/(600+fy)</f>
        <v>120</v>
      </c>
      <c r="BN38" s="43">
        <f t="shared" ref="BN38:BN55" si="173">600*(BL38/0.85-60)*0.85/BL38</f>
        <v>460.90909090909082</v>
      </c>
      <c r="BO38" s="43">
        <f t="shared" ref="BO38:BO55" si="174">600*(BM38/0.85-60)*0.85/BM38</f>
        <v>345.00000000000006</v>
      </c>
      <c r="BP38" s="43">
        <f t="shared" ref="BP38:BP55" si="175">IF(BN38&gt;fy,(0.85*fc*BL38*BJ38+CG38*(fy-0.85*fc)-CG38*fy),(0.85*fc*BL38*BJ38+CG38*(BN38-0.85*fc)-CG38*fy))/1000</f>
        <v>1561.6369999999999</v>
      </c>
      <c r="BQ38" s="43">
        <f t="shared" ref="BQ38:BQ55" si="176">IF(BO38&gt;fy,(0.85*fc*BM38*BK38+CG38*(fy-0.85*fc)-CG38*fy),(0.85*fc*BM38*BK38+CG38*(BO38-0.85*fc)-CG38*fy))/1000</f>
        <v>1389.962</v>
      </c>
      <c r="BR38" s="43">
        <f t="shared" si="166"/>
        <v>279.61703</v>
      </c>
      <c r="BS38" s="43">
        <f t="shared" ref="BS38:BS55" si="177">IF(BO38&gt;fy,(0.85*fc*BM38*BK38*((BJ38-60)-BM38/2-60)+CG38*(fy-0.85*AM$2)*(BJ38/2-60)-CG38*fy*(BJ38/2-60)),(0.85*fc*BM38*BK38*((BJ38-60)-BM38/2-60)+CG38*(BO38-0.85*fc)*(BJ38/2-60)-CG38*fy*(BJ38/2-60)))/1000000</f>
        <v>167.93657999999999</v>
      </c>
      <c r="BT38" s="43">
        <f t="shared" ref="BT38:BT55" si="178">BR38/BP38</f>
        <v>0.17905379419160791</v>
      </c>
      <c r="BU38" s="43">
        <f t="shared" ref="BU38:BU55" si="179">BS38/BQ38</f>
        <v>0.12082098647301148</v>
      </c>
      <c r="BV38" s="43">
        <f t="shared" si="167"/>
        <v>4.6124990895185375E-2</v>
      </c>
      <c r="BW38" s="43">
        <f t="shared" si="168"/>
        <v>4.7709228640104894E-3</v>
      </c>
      <c r="BX38" s="44" t="str">
        <f t="shared" ref="BX38:BX55" si="180">IF(BT38&gt;BV38,"Compression Controls","Tension Controls")</f>
        <v>Compression Controls</v>
      </c>
      <c r="BY38" s="44" t="str">
        <f t="shared" ref="BY38:BY55" si="181">IF(BU38&gt;BW38,"Compression Controls","Tension Controls")</f>
        <v>Compression Controls</v>
      </c>
      <c r="BZ38" s="43">
        <f t="shared" ref="BZ38:BZ55" si="182">IF(BX38="Compression Controls",CO38,DG38)</f>
        <v>3165.5851755694953</v>
      </c>
      <c r="CA38" s="43">
        <f t="shared" ref="CA38:CA55" si="183">IF(BY38="Compression Controls",CX38,DP38)</f>
        <v>3722.5559015164204</v>
      </c>
      <c r="CB38" s="43">
        <f t="shared" ref="CB38:CB55" si="184">(0.85*fc*BJ38*BK38+CG38*4*(fy-0.85*fc))/1000</f>
        <v>4180.1480000000001</v>
      </c>
      <c r="CC38" s="43">
        <f t="shared" si="169"/>
        <v>2173.6769600000002</v>
      </c>
      <c r="CD38" s="51" t="str">
        <f t="shared" si="170"/>
        <v xml:space="preserve">Safe </v>
      </c>
      <c r="CE38" s="1"/>
      <c r="CF38" s="1"/>
      <c r="CG38" s="43">
        <f t="shared" si="171"/>
        <v>385</v>
      </c>
      <c r="CH38" s="43">
        <f t="shared" ref="CH38:CH55" si="185">BK38-60</f>
        <v>440</v>
      </c>
      <c r="CI38" s="43">
        <f t="shared" ref="CI38:CI55" si="186">BV38*1000+BK38/2-60</f>
        <v>236.12499089518536</v>
      </c>
      <c r="CJ38" s="52">
        <f t="shared" ref="CJ38:CJ55" si="187">0.85*fc*BJ38/(2*CI38)</f>
        <v>15.119111223532897</v>
      </c>
      <c r="CK38" s="52">
        <f t="shared" ref="CK38:CK55" si="188">0.85*fc*BJ38*(1-CH38/CI38)</f>
        <v>-6164.8178767089485</v>
      </c>
      <c r="CL38" s="52">
        <f t="shared" ref="CL38:CL55" si="189">(600*CG38+CG38*(fy-0.85*fc)*(1-(CH38-60)/CI38))</f>
        <v>138056.58820517251</v>
      </c>
      <c r="CM38" s="52">
        <f t="shared" ref="CM38:CM55" si="190">-510*CH38*CG38</f>
        <v>-86394000</v>
      </c>
      <c r="CN38" s="52">
        <f t="shared" ref="CN38:CN55" si="191">(((CK38*CL38/(6*CJ38^2)-(CK38/(3*CJ38))^3-CM38/(2*CJ38))^2+(-(CK38^2/(9*CJ38^2))+CL38/(3*CJ38))^3)^0.5+CK38*CL38/(6*CJ38^2)-CK38^3/(27*CJ38^3)-CM38/(2*CJ38))^(1/3)+(-(((CK38*CL38/(6*CJ38^2)-(CK38/(3*CJ38))^3-CM38/(2*CJ38))^2+(-(CK38^2/(9*CJ38^2))+CL38/(3*CJ38))^3)^0.5)+CK38*CL38/(6*CJ38^2)-CK38^3/(27*CJ38^3)-CM38/(2*CJ38))^(1/3)-CK38/(3*CJ38)</f>
        <v>418.55180666348997</v>
      </c>
      <c r="CO38" s="53">
        <f t="shared" ref="CO38:CO55" si="192">((0.85*fc*CN38*BJ38)+(CG38*(fy-0.85*fc))-(CG38*600*((0.85*CH38)-CN38)/CN38))/1000</f>
        <v>3165.5851755694953</v>
      </c>
      <c r="CP38" s="1"/>
      <c r="CQ38" s="43">
        <f t="shared" ref="CQ38:CQ55" si="193">BJ38-60</f>
        <v>240</v>
      </c>
      <c r="CR38" s="43">
        <f t="shared" ref="CR38:CR55" si="194">BW38*1000+BJ38/2-60</f>
        <v>94.770922864010487</v>
      </c>
      <c r="CS38" s="52">
        <f t="shared" ref="CS38:CS55" si="195">0.85*fc*BK38/(2*CR38)</f>
        <v>62.782969925678842</v>
      </c>
      <c r="CT38" s="52">
        <f t="shared" ref="CT38:CT55" si="196">0.85*fc*BK38*(1-CQ38/CR38)</f>
        <v>-18235.825564325845</v>
      </c>
      <c r="CU38" s="52">
        <f t="shared" ref="CU38:CU55" si="197">(600*CG38+CG38*(fy-0.85*fc)*(1-(CQ38-60)/CR38))</f>
        <v>93820.92285048918</v>
      </c>
      <c r="CV38" s="52">
        <f t="shared" ref="CV38:CV55" si="198">-510*CQ38*CG38</f>
        <v>-47124000</v>
      </c>
      <c r="CW38" s="52">
        <f t="shared" ref="CW38:CW55" si="199">(((CT38*CU38/(6*CS38^2)-(CT38/(3*CS38))^3-CV38/(2*CS38))^2+(-(CT38^2/(9*CS38^2))+CU38/(3*CS38))^3)^0.5+CT38*CU38/(6*CS38^2)-CT38^3/(27*CS38^3)-CV38/(2*CS38))^(1/3)+(-(((CT38*CU38/(6*CS38^2)-(CT38/(3*CS38))^3-CV38/(2*CS38))^2+(-(CT38^2/(9*CS38^2))+CU38/(3*CS38))^3)^0.5)+CT38*CU38/(6*CS38^2)-CT38^3/(27*CS38^3)-CV38/(2*CS38))^(1/3)-CT38/(3*CS38)</f>
        <v>294.05661800048597</v>
      </c>
      <c r="CX38" s="53">
        <f t="shared" ref="CX38:CX55" si="200">((0.85*fc*CW38*BK38)+(CG38*(fy-0.85*fc))-(CG38*600*((0.85*CQ38)-CW38)/CW38))/1000</f>
        <v>3722.5559015164204</v>
      </c>
      <c r="CY38" s="1"/>
      <c r="CZ38" s="52">
        <f t="shared" ref="CZ38:CZ55" si="201">0.425*fc*BJ38</f>
        <v>3570</v>
      </c>
      <c r="DA38" s="52">
        <f t="shared" ref="DA38:DA55" si="202">2*CZ38*(CI38-CH38)</f>
        <v>-1455667.5650083765</v>
      </c>
      <c r="DB38" s="54">
        <f t="shared" ref="DB38:DB55" si="203">CG38*(fy-0.85*fc)*(CI38-CH38+60)-CG38*fy*CI38</f>
        <v>-60127673.291572586</v>
      </c>
      <c r="DC38" s="54">
        <f t="shared" ref="DC38:DC55" si="204">(-DA38+(DA38^2-4*CZ38*DB38)^0.5)/(2*CZ38)</f>
        <v>445.55145572991484</v>
      </c>
      <c r="DD38" s="52">
        <f t="shared" ref="DD38:DD55" si="205">600*(DC38/0.85-60)*0.85/DC38</f>
        <v>531.32106380424625</v>
      </c>
      <c r="DE38" s="52">
        <f t="shared" ref="DE38:DE55" si="206">IF(DD38&gt;fy,DB38,CG38*(DD38-0.85*fc)*(CI38-CH38+60)-CG38*fy*CI38)</f>
        <v>-60127673.291572586</v>
      </c>
      <c r="DF38" s="52">
        <f t="shared" ref="DF38:DF55" si="207">(-DA38+(DA38^2-4*CZ38*DE38)^0.5)/(2*CZ38)</f>
        <v>445.55145572991484</v>
      </c>
      <c r="DG38" s="53">
        <f t="shared" ref="DG38:DG55" si="208">IF(DD38&gt;fy,(0.85*fc*DF38*BJ38+CG38*(fy-0.85*fc)-CG38*fy),(0.85*fc*DF38*BJ38+CG38*(DD38-0.85*fc)-CG38*fy))/1000</f>
        <v>3172.0743939115919</v>
      </c>
      <c r="DH38" s="1"/>
      <c r="DI38" s="52">
        <f t="shared" ref="DI38:DI55" si="209">0.425*fc*BK38</f>
        <v>5950</v>
      </c>
      <c r="DJ38" s="52">
        <f t="shared" ref="DJ38:DJ55" si="210">2*DI38*(CR38-CQ38)</f>
        <v>-1728226.0179182752</v>
      </c>
      <c r="DK38" s="52">
        <f t="shared" ref="DK38:DK55" si="211">CG38*(fy-0.85*fc)*(CR38-CQ38+60)-CG38*fy*CR38</f>
        <v>-28325045.96620293</v>
      </c>
      <c r="DL38" s="52">
        <f t="shared" ref="DL38:DL55" si="212">(-DJ38+(DJ38^2-4*DI38*DK38)^0.5)/(2*DI38)</f>
        <v>306.0146385924341</v>
      </c>
      <c r="DM38" s="52">
        <f t="shared" ref="DM38:DM55" si="213">600*(DL38/0.85-60)*0.85/DC38</f>
        <v>343.4143939779014</v>
      </c>
      <c r="DN38" s="52">
        <f t="shared" ref="DN38:DN55" si="214">IF(DM38&gt;fy,DK38,CG38*(DM38-0.85*fc)*(CR38-CQ38+60)-CG38*fy*CR38)</f>
        <v>-25812027.56478481</v>
      </c>
      <c r="DO38" s="52">
        <f t="shared" ref="DO38:DO55" si="215">(-DJ38+(DJ38^2-4*DI38*DN38)^0.5)/(2*DI38)</f>
        <v>304.6958157964774</v>
      </c>
      <c r="DP38" s="53">
        <f t="shared" ref="DP38:DP55" si="216">IF(DM38&gt;fy,(0.85*fc*DO38*BK38+CG38*(fy-0.85*fc)-CG38*fy),(0.85*fc*DO38*BK38+CG38*(DM38-0.85*fc)-CG38*fy))/1000</f>
        <v>3587.2317496595738</v>
      </c>
      <c r="DT38" s="41" t="str">
        <f t="shared" si="84"/>
        <v>C235</v>
      </c>
      <c r="DU38" s="55">
        <f t="shared" si="85"/>
        <v>10</v>
      </c>
      <c r="DV38" s="56" t="str">
        <f t="shared" si="86"/>
        <v>φ</v>
      </c>
      <c r="DW38" s="57">
        <f t="shared" si="87"/>
        <v>14</v>
      </c>
    </row>
    <row r="39" spans="1:256" s="118" customFormat="1" ht="16.5" customHeight="1" thickTop="1" thickBot="1" x14ac:dyDescent="0.3">
      <c r="A39" s="96" t="s">
        <v>145</v>
      </c>
      <c r="B39" s="180" t="s">
        <v>186</v>
      </c>
      <c r="C39" s="171"/>
      <c r="D39" s="43">
        <v>300</v>
      </c>
      <c r="E39" s="43">
        <v>500</v>
      </c>
      <c r="F39" s="96">
        <v>2900</v>
      </c>
      <c r="G39" s="122">
        <v>456.15</v>
      </c>
      <c r="H39" s="122">
        <v>-97.67</v>
      </c>
      <c r="I39" s="122">
        <v>111.85</v>
      </c>
      <c r="J39" s="122">
        <v>23.11</v>
      </c>
      <c r="K39" s="122">
        <v>-26.98</v>
      </c>
      <c r="L39" s="99">
        <f t="shared" si="138"/>
        <v>17.399999999999999</v>
      </c>
      <c r="M39" s="99">
        <f t="shared" si="139"/>
        <v>44.478676799284756</v>
      </c>
      <c r="N39" s="99" t="str">
        <f t="shared" si="140"/>
        <v>sho.col</v>
      </c>
      <c r="O39" s="102"/>
      <c r="P39" s="101">
        <f t="shared" si="141"/>
        <v>97.67</v>
      </c>
      <c r="Q39" s="101">
        <f t="shared" si="142"/>
        <v>111.85</v>
      </c>
      <c r="R39" s="101">
        <f t="shared" si="143"/>
        <v>23.11</v>
      </c>
      <c r="S39" s="101">
        <f t="shared" si="144"/>
        <v>26.98</v>
      </c>
      <c r="T39" s="102"/>
      <c r="U39" s="296" t="s">
        <v>12</v>
      </c>
      <c r="V39" s="340" t="s">
        <v>100</v>
      </c>
      <c r="W39" s="103" t="s">
        <v>86</v>
      </c>
      <c r="X39" s="99">
        <v>0</v>
      </c>
      <c r="Y39" s="99">
        <v>500</v>
      </c>
      <c r="Z39" s="296">
        <v>1000</v>
      </c>
      <c r="AA39" s="296">
        <v>1000</v>
      </c>
      <c r="AB39" s="296">
        <v>4350</v>
      </c>
      <c r="AC39" s="296">
        <f>(Z39*AA39^3/12)/AB39</f>
        <v>19157088.122605361</v>
      </c>
      <c r="AD39" s="296">
        <f>(0.7*(AC39+AC41))/(0.35*(X42+Y42))</f>
        <v>9.9738460847701127</v>
      </c>
      <c r="AE39" s="296">
        <f>MIN(MIN(1,(0.7+0.05*(AD39+AD43))),MIN(1,(0.85+0.05*MIN(AD39,AD43))))</f>
        <v>0.9</v>
      </c>
      <c r="AF39" s="102"/>
      <c r="AG39" s="102"/>
      <c r="AH39" s="102"/>
      <c r="AI39" s="102"/>
      <c r="AJ39" s="310" t="str">
        <f t="shared" si="145"/>
        <v>C154</v>
      </c>
      <c r="AK39" s="311"/>
      <c r="AL39" s="43">
        <v>300</v>
      </c>
      <c r="AM39" s="43">
        <v>500</v>
      </c>
      <c r="AN39" s="99">
        <f t="shared" si="146"/>
        <v>440</v>
      </c>
      <c r="AO39" s="99">
        <f t="shared" si="147"/>
        <v>456.15</v>
      </c>
      <c r="AP39" s="99">
        <f t="shared" si="148"/>
        <v>97.67</v>
      </c>
      <c r="AQ39" s="99">
        <f t="shared" si="149"/>
        <v>23.11</v>
      </c>
      <c r="AR39" s="99">
        <f t="shared" si="150"/>
        <v>118.40974358974358</v>
      </c>
      <c r="AS39" s="99">
        <f t="shared" si="151"/>
        <v>54.664923076923074</v>
      </c>
      <c r="AT39" s="99">
        <f t="shared" si="152"/>
        <v>118.40974358974358</v>
      </c>
      <c r="AU39" s="99">
        <f t="shared" si="153"/>
        <v>0.25958510049269667</v>
      </c>
      <c r="AV39" s="99" t="str">
        <f t="shared" si="154"/>
        <v>Compression</v>
      </c>
      <c r="AW39" s="99">
        <f t="shared" si="155"/>
        <v>1500</v>
      </c>
      <c r="AX39" s="99">
        <f t="shared" si="156"/>
        <v>375</v>
      </c>
      <c r="AY39" s="99">
        <f t="shared" si="157"/>
        <v>0.01</v>
      </c>
      <c r="AZ39" s="114">
        <f t="shared" si="158"/>
        <v>10</v>
      </c>
      <c r="BA39" s="115" t="s">
        <v>65</v>
      </c>
      <c r="BB39" s="107">
        <v>14</v>
      </c>
      <c r="BC39" s="122">
        <v>63.49</v>
      </c>
      <c r="BD39" s="99">
        <f t="shared" si="159"/>
        <v>105.83005244258362</v>
      </c>
      <c r="BE39" s="99">
        <f t="shared" ref="BE39:BE55" si="217">(BC51-BF$2*BD39)/BF$2</f>
        <v>-90.470052442583622</v>
      </c>
      <c r="BF39" s="99">
        <f t="shared" si="160"/>
        <v>110</v>
      </c>
      <c r="BG39" s="99">
        <f t="shared" si="161"/>
        <v>500</v>
      </c>
      <c r="BH39" s="99" t="str">
        <f t="shared" ref="BH39:BH55" si="218">IF(BC51&lt;0.5*BD39*BF$2,"No Need Shear Reinf.",IF(BC51&lt;=BD39*BF$2,BF39,IF(BE39&gt;4*BD39,"Increase b &amp; d",FLOOR(AZ$2*BI$2*AN39/(BE39*1000),50))))</f>
        <v>No Need Shear Reinf.</v>
      </c>
      <c r="BI39" s="116" t="str">
        <f t="shared" si="162"/>
        <v>Use Φ10@110mm</v>
      </c>
      <c r="BJ39" s="99">
        <f t="shared" si="163"/>
        <v>300</v>
      </c>
      <c r="BK39" s="99">
        <f t="shared" si="164"/>
        <v>500</v>
      </c>
      <c r="BL39" s="99">
        <f t="shared" si="165"/>
        <v>220</v>
      </c>
      <c r="BM39" s="99">
        <f t="shared" si="172"/>
        <v>120</v>
      </c>
      <c r="BN39" s="99">
        <f t="shared" si="173"/>
        <v>460.90909090909082</v>
      </c>
      <c r="BO39" s="99">
        <f t="shared" si="174"/>
        <v>345.00000000000006</v>
      </c>
      <c r="BP39" s="99">
        <f t="shared" si="175"/>
        <v>1561.6369999999999</v>
      </c>
      <c r="BQ39" s="99">
        <f t="shared" si="176"/>
        <v>1389.962</v>
      </c>
      <c r="BR39" s="99">
        <f t="shared" si="166"/>
        <v>279.61703</v>
      </c>
      <c r="BS39" s="99">
        <f t="shared" si="177"/>
        <v>167.93657999999999</v>
      </c>
      <c r="BT39" s="99">
        <f t="shared" si="178"/>
        <v>0.17905379419160791</v>
      </c>
      <c r="BU39" s="99">
        <f t="shared" si="179"/>
        <v>0.12082098647301148</v>
      </c>
      <c r="BV39" s="99">
        <f t="shared" si="167"/>
        <v>0.21411816288501589</v>
      </c>
      <c r="BW39" s="99">
        <f t="shared" si="168"/>
        <v>5.0663159048558587E-2</v>
      </c>
      <c r="BX39" s="99" t="str">
        <f t="shared" si="180"/>
        <v>Tension Controls</v>
      </c>
      <c r="BY39" s="99" t="str">
        <f t="shared" si="181"/>
        <v>Compression Controls</v>
      </c>
      <c r="BZ39" s="99">
        <f t="shared" si="182"/>
        <v>1219.7826359622029</v>
      </c>
      <c r="CA39" s="99">
        <f t="shared" si="183"/>
        <v>2575.8194457729242</v>
      </c>
      <c r="CB39" s="99">
        <f t="shared" si="184"/>
        <v>4180.1480000000001</v>
      </c>
      <c r="CC39" s="99">
        <f t="shared" si="169"/>
        <v>670.9205193673962</v>
      </c>
      <c r="CD39" s="117" t="str">
        <f t="shared" si="170"/>
        <v xml:space="preserve">Safe </v>
      </c>
      <c r="CE39" s="102"/>
      <c r="CF39" s="102"/>
      <c r="CG39" s="99">
        <f t="shared" si="171"/>
        <v>385</v>
      </c>
      <c r="CH39" s="99">
        <f t="shared" si="185"/>
        <v>440</v>
      </c>
      <c r="CI39" s="99">
        <f t="shared" si="186"/>
        <v>404.11816288501586</v>
      </c>
      <c r="CJ39" s="99">
        <f t="shared" si="187"/>
        <v>8.8340498593619898</v>
      </c>
      <c r="CK39" s="99">
        <f t="shared" si="188"/>
        <v>-633.96387623855105</v>
      </c>
      <c r="CL39" s="99">
        <f t="shared" si="189"/>
        <v>240103.55571679273</v>
      </c>
      <c r="CM39" s="99">
        <f t="shared" si="190"/>
        <v>-86394000</v>
      </c>
      <c r="CN39" s="99">
        <f t="shared" si="191"/>
        <v>193.16276408600601</v>
      </c>
      <c r="CO39" s="99">
        <f t="shared" si="192"/>
        <v>1315.4590209821579</v>
      </c>
      <c r="CP39" s="102"/>
      <c r="CQ39" s="99">
        <f t="shared" si="193"/>
        <v>240</v>
      </c>
      <c r="CR39" s="99">
        <f t="shared" si="194"/>
        <v>140.66315904855858</v>
      </c>
      <c r="CS39" s="99">
        <f t="shared" si="195"/>
        <v>42.299632968899765</v>
      </c>
      <c r="CT39" s="99">
        <f t="shared" si="196"/>
        <v>-8403.8238250718878</v>
      </c>
      <c r="CU39" s="99">
        <f t="shared" si="197"/>
        <v>188342.60662993757</v>
      </c>
      <c r="CV39" s="99">
        <f t="shared" si="198"/>
        <v>-47124000</v>
      </c>
      <c r="CW39" s="99">
        <f t="shared" si="199"/>
        <v>203.66875174439224</v>
      </c>
      <c r="CX39" s="99">
        <f t="shared" si="200"/>
        <v>2575.8194457729242</v>
      </c>
      <c r="CY39" s="102"/>
      <c r="CZ39" s="99">
        <f t="shared" si="201"/>
        <v>3570</v>
      </c>
      <c r="DA39" s="99">
        <f t="shared" si="202"/>
        <v>-256196.31700098675</v>
      </c>
      <c r="DB39" s="101">
        <f t="shared" si="203"/>
        <v>-61666994.726515397</v>
      </c>
      <c r="DC39" s="101">
        <f t="shared" si="204"/>
        <v>172.1212375297203</v>
      </c>
      <c r="DD39" s="99">
        <f t="shared" si="205"/>
        <v>422.2183361032582</v>
      </c>
      <c r="DE39" s="99">
        <f t="shared" si="206"/>
        <v>-61666994.726515397</v>
      </c>
      <c r="DF39" s="99">
        <f t="shared" si="207"/>
        <v>172.1212375297203</v>
      </c>
      <c r="DG39" s="99">
        <f t="shared" si="208"/>
        <v>1219.7826359622029</v>
      </c>
      <c r="DH39" s="102"/>
      <c r="DI39" s="99">
        <f t="shared" si="209"/>
        <v>5950</v>
      </c>
      <c r="DJ39" s="99">
        <f t="shared" si="210"/>
        <v>-1182108.4073221528</v>
      </c>
      <c r="DK39" s="99">
        <f t="shared" si="211"/>
        <v>-28745556.526361942</v>
      </c>
      <c r="DL39" s="99">
        <f t="shared" si="212"/>
        <v>220.57624849300402</v>
      </c>
      <c r="DM39" s="99">
        <f t="shared" si="213"/>
        <v>591.12838459712964</v>
      </c>
      <c r="DN39" s="99">
        <f t="shared" si="214"/>
        <v>-28745556.526361942</v>
      </c>
      <c r="DO39" s="99">
        <f t="shared" si="215"/>
        <v>220.57624849300402</v>
      </c>
      <c r="DP39" s="99">
        <f t="shared" si="216"/>
        <v>2615.6943570667477</v>
      </c>
      <c r="DQ39" s="102"/>
      <c r="DR39" s="102"/>
      <c r="DS39" s="102"/>
      <c r="DT39" s="41" t="str">
        <f t="shared" si="84"/>
        <v>C154</v>
      </c>
      <c r="DU39" s="55">
        <f t="shared" si="85"/>
        <v>10</v>
      </c>
      <c r="DV39" s="56" t="str">
        <f t="shared" si="86"/>
        <v>φ</v>
      </c>
      <c r="DW39" s="57">
        <f t="shared" si="87"/>
        <v>14</v>
      </c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  <c r="IK39" s="102"/>
      <c r="IL39" s="102"/>
      <c r="IM39" s="102"/>
      <c r="IN39" s="102"/>
      <c r="IO39" s="102"/>
      <c r="IP39" s="102"/>
      <c r="IQ39" s="102"/>
      <c r="IR39" s="102"/>
      <c r="IS39" s="102"/>
      <c r="IT39" s="102"/>
      <c r="IU39" s="102"/>
      <c r="IV39" s="102"/>
    </row>
    <row r="40" spans="1:256" ht="16.5" customHeight="1" thickTop="1" thickBot="1" x14ac:dyDescent="0.3">
      <c r="A40" s="42" t="s">
        <v>145</v>
      </c>
      <c r="B40" s="175" t="s">
        <v>187</v>
      </c>
      <c r="C40" s="93"/>
      <c r="D40" s="43">
        <v>300</v>
      </c>
      <c r="E40" s="43">
        <v>500</v>
      </c>
      <c r="F40" s="42">
        <v>2900</v>
      </c>
      <c r="G40" s="94">
        <v>419.02</v>
      </c>
      <c r="H40" s="94">
        <v>45.57</v>
      </c>
      <c r="I40" s="94">
        <v>-70.77</v>
      </c>
      <c r="J40" s="94">
        <v>-19.12</v>
      </c>
      <c r="K40" s="94">
        <v>10.95</v>
      </c>
      <c r="L40" s="43">
        <f t="shared" si="138"/>
        <v>17.399999999999999</v>
      </c>
      <c r="M40" s="43">
        <f t="shared" si="139"/>
        <v>41.727002967359049</v>
      </c>
      <c r="N40" s="44" t="str">
        <f t="shared" si="140"/>
        <v>sho.col</v>
      </c>
      <c r="P40" s="46">
        <f t="shared" si="141"/>
        <v>45.57</v>
      </c>
      <c r="Q40" s="46">
        <f t="shared" si="142"/>
        <v>70.77</v>
      </c>
      <c r="R40" s="46">
        <f t="shared" si="143"/>
        <v>19.12</v>
      </c>
      <c r="S40" s="46">
        <f t="shared" si="144"/>
        <v>10.95</v>
      </c>
      <c r="U40" s="289"/>
      <c r="V40" s="298"/>
      <c r="W40" s="15" t="s">
        <v>97</v>
      </c>
      <c r="X40" s="43">
        <v>0</v>
      </c>
      <c r="Y40" s="43">
        <v>800</v>
      </c>
      <c r="Z40" s="295"/>
      <c r="AA40" s="295"/>
      <c r="AB40" s="295"/>
      <c r="AC40" s="295"/>
      <c r="AD40" s="293"/>
      <c r="AE40" s="293"/>
      <c r="AJ40" s="306" t="str">
        <f t="shared" si="145"/>
        <v>C155</v>
      </c>
      <c r="AK40" s="307"/>
      <c r="AL40" s="43">
        <v>300</v>
      </c>
      <c r="AM40" s="43">
        <v>500</v>
      </c>
      <c r="AN40" s="43">
        <f t="shared" si="146"/>
        <v>440</v>
      </c>
      <c r="AO40" s="43">
        <f t="shared" si="147"/>
        <v>419.02</v>
      </c>
      <c r="AP40" s="43">
        <f t="shared" si="148"/>
        <v>45.57</v>
      </c>
      <c r="AQ40" s="43">
        <f t="shared" si="149"/>
        <v>19.12</v>
      </c>
      <c r="AR40" s="43">
        <f t="shared" si="150"/>
        <v>62.728974358974355</v>
      </c>
      <c r="AS40" s="43">
        <f t="shared" si="151"/>
        <v>33.842615384615385</v>
      </c>
      <c r="AT40" s="43">
        <f t="shared" si="152"/>
        <v>62.728974358974355</v>
      </c>
      <c r="AU40" s="43">
        <f t="shared" si="153"/>
        <v>0.14970401021186186</v>
      </c>
      <c r="AV40" s="44" t="str">
        <f t="shared" si="154"/>
        <v>Compression</v>
      </c>
      <c r="AW40" s="43">
        <f t="shared" si="155"/>
        <v>1500</v>
      </c>
      <c r="AX40" s="43">
        <f t="shared" si="156"/>
        <v>375</v>
      </c>
      <c r="AY40" s="43">
        <f t="shared" si="157"/>
        <v>0.01</v>
      </c>
      <c r="AZ40" s="47">
        <f t="shared" si="158"/>
        <v>10</v>
      </c>
      <c r="BA40" s="48" t="s">
        <v>65</v>
      </c>
      <c r="BB40" s="49">
        <v>14</v>
      </c>
      <c r="BC40" s="94">
        <v>35.26</v>
      </c>
      <c r="BD40" s="43">
        <f t="shared" si="159"/>
        <v>105.83005244258362</v>
      </c>
      <c r="BE40" s="43">
        <f t="shared" si="217"/>
        <v>-20.923385775916955</v>
      </c>
      <c r="BF40" s="43">
        <f t="shared" si="160"/>
        <v>110</v>
      </c>
      <c r="BG40" s="43">
        <f t="shared" si="161"/>
        <v>500</v>
      </c>
      <c r="BH40" s="44">
        <f t="shared" si="218"/>
        <v>110</v>
      </c>
      <c r="BI40" s="50" t="str">
        <f t="shared" si="162"/>
        <v>Use Φ10@110mm</v>
      </c>
      <c r="BJ40" s="43">
        <f t="shared" si="163"/>
        <v>300</v>
      </c>
      <c r="BK40" s="43">
        <f t="shared" si="164"/>
        <v>500</v>
      </c>
      <c r="BL40" s="43">
        <f t="shared" si="165"/>
        <v>220</v>
      </c>
      <c r="BM40" s="43">
        <f t="shared" si="172"/>
        <v>120</v>
      </c>
      <c r="BN40" s="43">
        <f t="shared" si="173"/>
        <v>460.90909090909082</v>
      </c>
      <c r="BO40" s="43">
        <f t="shared" si="174"/>
        <v>345.00000000000006</v>
      </c>
      <c r="BP40" s="43">
        <f t="shared" si="175"/>
        <v>1561.6369999999999</v>
      </c>
      <c r="BQ40" s="43">
        <f t="shared" si="176"/>
        <v>1389.962</v>
      </c>
      <c r="BR40" s="43">
        <f t="shared" si="166"/>
        <v>279.61703</v>
      </c>
      <c r="BS40" s="43">
        <f t="shared" si="177"/>
        <v>167.93657999999999</v>
      </c>
      <c r="BT40" s="43">
        <f t="shared" si="178"/>
        <v>0.17905379419160791</v>
      </c>
      <c r="BU40" s="43">
        <f t="shared" si="179"/>
        <v>0.12082098647301148</v>
      </c>
      <c r="BV40" s="43">
        <f t="shared" si="167"/>
        <v>0.10875375877046442</v>
      </c>
      <c r="BW40" s="43">
        <f t="shared" si="168"/>
        <v>4.5630280177557159E-2</v>
      </c>
      <c r="BX40" s="44" t="str">
        <f t="shared" si="180"/>
        <v>Compression Controls</v>
      </c>
      <c r="BY40" s="44" t="str">
        <f t="shared" si="181"/>
        <v>Compression Controls</v>
      </c>
      <c r="BZ40" s="43">
        <f t="shared" si="182"/>
        <v>2297.3860819734236</v>
      </c>
      <c r="CA40" s="43">
        <f t="shared" si="183"/>
        <v>2697.3998206394526</v>
      </c>
      <c r="CB40" s="43">
        <f t="shared" si="184"/>
        <v>4180.1480000000001</v>
      </c>
      <c r="CC40" s="43">
        <f t="shared" si="169"/>
        <v>1146.832072949466</v>
      </c>
      <c r="CD40" s="51" t="str">
        <f t="shared" si="170"/>
        <v xml:space="preserve">Safe </v>
      </c>
      <c r="CE40" s="1"/>
      <c r="CF40" s="1"/>
      <c r="CG40" s="43">
        <f t="shared" si="171"/>
        <v>385</v>
      </c>
      <c r="CH40" s="43">
        <f t="shared" si="185"/>
        <v>440</v>
      </c>
      <c r="CI40" s="43">
        <f t="shared" si="186"/>
        <v>298.7537587704644</v>
      </c>
      <c r="CJ40" s="52">
        <f t="shared" si="187"/>
        <v>11.949640448684255</v>
      </c>
      <c r="CK40" s="52">
        <f t="shared" si="188"/>
        <v>-3375.6835948421444</v>
      </c>
      <c r="CL40" s="52">
        <f t="shared" si="189"/>
        <v>189517.48292830223</v>
      </c>
      <c r="CM40" s="52">
        <f t="shared" si="190"/>
        <v>-86394000</v>
      </c>
      <c r="CN40" s="52">
        <f t="shared" si="191"/>
        <v>307.40752113352016</v>
      </c>
      <c r="CO40" s="53">
        <f t="shared" si="192"/>
        <v>2297.3860819734236</v>
      </c>
      <c r="CP40" s="1"/>
      <c r="CQ40" s="43">
        <f t="shared" si="193"/>
        <v>240</v>
      </c>
      <c r="CR40" s="43">
        <f t="shared" si="194"/>
        <v>135.63028017755715</v>
      </c>
      <c r="CS40" s="52">
        <f t="shared" si="195"/>
        <v>43.869259815807347</v>
      </c>
      <c r="CT40" s="52">
        <f t="shared" si="196"/>
        <v>-9157.2447115875275</v>
      </c>
      <c r="CU40" s="52">
        <f t="shared" si="197"/>
        <v>181099.46198079243</v>
      </c>
      <c r="CV40" s="52">
        <f t="shared" si="198"/>
        <v>-47124000</v>
      </c>
      <c r="CW40" s="52">
        <f t="shared" si="199"/>
        <v>213.03108987044072</v>
      </c>
      <c r="CX40" s="53">
        <f t="shared" si="200"/>
        <v>2697.3998206394526</v>
      </c>
      <c r="CY40" s="1"/>
      <c r="CZ40" s="52">
        <f t="shared" si="201"/>
        <v>3570</v>
      </c>
      <c r="DA40" s="52">
        <f t="shared" si="202"/>
        <v>-1008498.1623788842</v>
      </c>
      <c r="DB40" s="54">
        <f t="shared" si="203"/>
        <v>-60701540.691613764</v>
      </c>
      <c r="DC40" s="54">
        <f t="shared" si="204"/>
        <v>333.47977979187567</v>
      </c>
      <c r="DD40" s="52">
        <f t="shared" si="205"/>
        <v>508.24031364331171</v>
      </c>
      <c r="DE40" s="52">
        <f t="shared" si="206"/>
        <v>-60701540.691613764</v>
      </c>
      <c r="DF40" s="52">
        <f t="shared" si="207"/>
        <v>333.47977979187567</v>
      </c>
      <c r="DG40" s="53">
        <f t="shared" si="208"/>
        <v>2371.8826277139924</v>
      </c>
      <c r="DH40" s="1"/>
      <c r="DI40" s="52">
        <f t="shared" si="209"/>
        <v>5950</v>
      </c>
      <c r="DJ40" s="52">
        <f t="shared" si="210"/>
        <v>-1241999.6658870699</v>
      </c>
      <c r="DK40" s="52">
        <f t="shared" si="211"/>
        <v>-28699440.257266957</v>
      </c>
      <c r="DL40" s="52">
        <f t="shared" si="212"/>
        <v>229.73508088031642</v>
      </c>
      <c r="DM40" s="52">
        <f t="shared" si="213"/>
        <v>321.58186201010102</v>
      </c>
      <c r="DN40" s="52">
        <f t="shared" si="214"/>
        <v>-27018227.952164497</v>
      </c>
      <c r="DO40" s="52">
        <f t="shared" si="215"/>
        <v>228.60303686436129</v>
      </c>
      <c r="DP40" s="53">
        <f t="shared" si="216"/>
        <v>2673.3221555597884</v>
      </c>
      <c r="DT40" s="41" t="str">
        <f t="shared" si="84"/>
        <v>C155</v>
      </c>
      <c r="DU40" s="55">
        <f t="shared" si="85"/>
        <v>10</v>
      </c>
      <c r="DV40" s="56" t="str">
        <f t="shared" si="86"/>
        <v>φ</v>
      </c>
      <c r="DW40" s="57">
        <f t="shared" si="87"/>
        <v>14</v>
      </c>
    </row>
    <row r="41" spans="1:256" s="150" customFormat="1" ht="16.5" customHeight="1" thickTop="1" thickBot="1" x14ac:dyDescent="0.3">
      <c r="A41" s="138" t="s">
        <v>145</v>
      </c>
      <c r="B41" s="176" t="s">
        <v>188</v>
      </c>
      <c r="C41" s="170"/>
      <c r="D41" s="43">
        <v>300</v>
      </c>
      <c r="E41" s="43">
        <v>500</v>
      </c>
      <c r="F41" s="138">
        <v>2900</v>
      </c>
      <c r="G41" s="139">
        <v>311.79000000000002</v>
      </c>
      <c r="H41" s="139">
        <v>-12.99</v>
      </c>
      <c r="I41" s="139">
        <v>24.8</v>
      </c>
      <c r="J41" s="139">
        <v>-48.06</v>
      </c>
      <c r="K41" s="139">
        <v>44.27</v>
      </c>
      <c r="L41" s="140">
        <f t="shared" si="138"/>
        <v>17.399999999999999</v>
      </c>
      <c r="M41" s="140">
        <f t="shared" si="139"/>
        <v>40.285483870967738</v>
      </c>
      <c r="N41" s="140" t="str">
        <f t="shared" si="140"/>
        <v>sho.col</v>
      </c>
      <c r="O41" s="141"/>
      <c r="P41" s="46">
        <f t="shared" si="141"/>
        <v>12.99</v>
      </c>
      <c r="Q41" s="46">
        <f t="shared" si="142"/>
        <v>24.8</v>
      </c>
      <c r="R41" s="46">
        <f t="shared" si="143"/>
        <v>48.06</v>
      </c>
      <c r="S41" s="46">
        <f t="shared" si="144"/>
        <v>44.27</v>
      </c>
      <c r="T41" s="141"/>
      <c r="U41" s="289"/>
      <c r="V41" s="298"/>
      <c r="W41" s="142" t="s">
        <v>98</v>
      </c>
      <c r="X41" s="140">
        <v>0</v>
      </c>
      <c r="Y41" s="140">
        <v>5200</v>
      </c>
      <c r="Z41" s="292">
        <f>D11</f>
        <v>200</v>
      </c>
      <c r="AA41" s="292">
        <f>E11</f>
        <v>500</v>
      </c>
      <c r="AB41" s="292">
        <f>F11</f>
        <v>1600</v>
      </c>
      <c r="AC41" s="292">
        <f>(Z41*AA41^3/12)/AB41</f>
        <v>1302083.3333333333</v>
      </c>
      <c r="AD41" s="293"/>
      <c r="AE41" s="293"/>
      <c r="AF41" s="141"/>
      <c r="AG41" s="141"/>
      <c r="AH41" s="141"/>
      <c r="AI41" s="141"/>
      <c r="AJ41" s="308" t="str">
        <f t="shared" si="145"/>
        <v>C156</v>
      </c>
      <c r="AK41" s="309"/>
      <c r="AL41" s="43">
        <v>300</v>
      </c>
      <c r="AM41" s="43">
        <v>500</v>
      </c>
      <c r="AN41" s="140">
        <f t="shared" si="146"/>
        <v>440</v>
      </c>
      <c r="AO41" s="140">
        <f t="shared" si="147"/>
        <v>311.79000000000002</v>
      </c>
      <c r="AP41" s="140">
        <f t="shared" si="148"/>
        <v>12.99</v>
      </c>
      <c r="AQ41" s="140">
        <f t="shared" si="149"/>
        <v>48.06</v>
      </c>
      <c r="AR41" s="140">
        <f t="shared" si="150"/>
        <v>56.120769230769227</v>
      </c>
      <c r="AS41" s="140">
        <f t="shared" si="151"/>
        <v>52.25676923076923</v>
      </c>
      <c r="AT41" s="140">
        <f t="shared" si="152"/>
        <v>56.120769230769227</v>
      </c>
      <c r="AU41" s="140">
        <f t="shared" si="153"/>
        <v>0.17999541111250913</v>
      </c>
      <c r="AV41" s="140" t="str">
        <f t="shared" si="154"/>
        <v>Compression</v>
      </c>
      <c r="AW41" s="140">
        <f t="shared" si="155"/>
        <v>1500</v>
      </c>
      <c r="AX41" s="140">
        <f t="shared" si="156"/>
        <v>375</v>
      </c>
      <c r="AY41" s="140">
        <f t="shared" si="157"/>
        <v>0.01</v>
      </c>
      <c r="AZ41" s="143">
        <f t="shared" si="158"/>
        <v>10</v>
      </c>
      <c r="BA41" s="144" t="s">
        <v>65</v>
      </c>
      <c r="BB41" s="145">
        <v>14</v>
      </c>
      <c r="BC41" s="139">
        <v>27.98</v>
      </c>
      <c r="BD41" s="140">
        <f t="shared" si="159"/>
        <v>105.83005244258362</v>
      </c>
      <c r="BE41" s="140">
        <f t="shared" si="217"/>
        <v>-98.030052442583624</v>
      </c>
      <c r="BF41" s="140">
        <f t="shared" si="160"/>
        <v>110</v>
      </c>
      <c r="BG41" s="140">
        <f t="shared" si="161"/>
        <v>500</v>
      </c>
      <c r="BH41" s="140" t="str">
        <f t="shared" si="218"/>
        <v>No Need Shear Reinf.</v>
      </c>
      <c r="BI41" s="146" t="str">
        <f t="shared" si="162"/>
        <v>Use Φ10@110mm</v>
      </c>
      <c r="BJ41" s="140">
        <f t="shared" si="163"/>
        <v>300</v>
      </c>
      <c r="BK41" s="140">
        <f t="shared" si="164"/>
        <v>500</v>
      </c>
      <c r="BL41" s="140">
        <f t="shared" si="165"/>
        <v>220</v>
      </c>
      <c r="BM41" s="140">
        <f t="shared" si="172"/>
        <v>120</v>
      </c>
      <c r="BN41" s="140">
        <f t="shared" si="173"/>
        <v>460.90909090909082</v>
      </c>
      <c r="BO41" s="140">
        <f t="shared" si="174"/>
        <v>345.00000000000006</v>
      </c>
      <c r="BP41" s="140">
        <f t="shared" si="175"/>
        <v>1561.6369999999999</v>
      </c>
      <c r="BQ41" s="140">
        <f t="shared" si="176"/>
        <v>1389.962</v>
      </c>
      <c r="BR41" s="140">
        <f t="shared" si="166"/>
        <v>279.61703</v>
      </c>
      <c r="BS41" s="140">
        <f t="shared" si="177"/>
        <v>167.93657999999999</v>
      </c>
      <c r="BT41" s="140">
        <f t="shared" si="178"/>
        <v>0.17905379419160791</v>
      </c>
      <c r="BU41" s="140">
        <f t="shared" si="179"/>
        <v>0.12082098647301148</v>
      </c>
      <c r="BV41" s="140">
        <f t="shared" si="167"/>
        <v>4.1662657557971709E-2</v>
      </c>
      <c r="BW41" s="140">
        <f t="shared" si="168"/>
        <v>0.15414221110362744</v>
      </c>
      <c r="BX41" s="140" t="str">
        <f t="shared" si="180"/>
        <v>Compression Controls</v>
      </c>
      <c r="BY41" s="140" t="str">
        <f t="shared" si="181"/>
        <v>Tension Controls</v>
      </c>
      <c r="BZ41" s="140">
        <f t="shared" si="182"/>
        <v>3231.1044807796911</v>
      </c>
      <c r="CA41" s="140">
        <f t="shared" si="183"/>
        <v>759.31635057578433</v>
      </c>
      <c r="CB41" s="140">
        <f t="shared" si="184"/>
        <v>4180.1480000000001</v>
      </c>
      <c r="CC41" s="140">
        <f t="shared" si="169"/>
        <v>468.55631810500978</v>
      </c>
      <c r="CD41" s="147" t="str">
        <f t="shared" si="170"/>
        <v xml:space="preserve">Safe </v>
      </c>
      <c r="CE41" s="141"/>
      <c r="CF41" s="141"/>
      <c r="CG41" s="140">
        <f t="shared" si="171"/>
        <v>385</v>
      </c>
      <c r="CH41" s="140">
        <f t="shared" si="185"/>
        <v>440</v>
      </c>
      <c r="CI41" s="140">
        <f t="shared" si="186"/>
        <v>231.66265755797173</v>
      </c>
      <c r="CJ41" s="140">
        <f t="shared" si="187"/>
        <v>15.410338626140625</v>
      </c>
      <c r="CK41" s="140">
        <f t="shared" si="188"/>
        <v>-6421.0979910037504</v>
      </c>
      <c r="CL41" s="140">
        <f t="shared" si="189"/>
        <v>133328.09446892643</v>
      </c>
      <c r="CM41" s="140">
        <f t="shared" si="190"/>
        <v>-86394000</v>
      </c>
      <c r="CN41" s="140">
        <f t="shared" si="191"/>
        <v>427.14649297324445</v>
      </c>
      <c r="CO41" s="140">
        <f t="shared" si="192"/>
        <v>3231.1044807796911</v>
      </c>
      <c r="CP41" s="141"/>
      <c r="CQ41" s="140">
        <f t="shared" si="193"/>
        <v>240</v>
      </c>
      <c r="CR41" s="140">
        <f t="shared" si="194"/>
        <v>244.14221110362746</v>
      </c>
      <c r="CS41" s="140">
        <f t="shared" si="195"/>
        <v>24.371041669129845</v>
      </c>
      <c r="CT41" s="140">
        <f t="shared" si="196"/>
        <v>201.89999881767389</v>
      </c>
      <c r="CU41" s="140">
        <f t="shared" si="197"/>
        <v>271075.25126804528</v>
      </c>
      <c r="CV41" s="140">
        <f t="shared" si="198"/>
        <v>-47124000</v>
      </c>
      <c r="CW41" s="140">
        <f t="shared" si="199"/>
        <v>93.597508265982924</v>
      </c>
      <c r="CX41" s="140">
        <f t="shared" si="200"/>
        <v>993.87240685196502</v>
      </c>
      <c r="CY41" s="141"/>
      <c r="CZ41" s="140">
        <f t="shared" si="201"/>
        <v>3570</v>
      </c>
      <c r="DA41" s="140">
        <f t="shared" si="202"/>
        <v>-1487528.6250360818</v>
      </c>
      <c r="DB41" s="46">
        <f t="shared" si="203"/>
        <v>-60086784.931203693</v>
      </c>
      <c r="DC41" s="46">
        <f t="shared" si="204"/>
        <v>453.76651847744063</v>
      </c>
      <c r="DD41" s="140">
        <f t="shared" si="205"/>
        <v>532.56443841939972</v>
      </c>
      <c r="DE41" s="140">
        <f t="shared" si="206"/>
        <v>-60086784.931203693</v>
      </c>
      <c r="DF41" s="140">
        <f t="shared" si="207"/>
        <v>453.76651847744063</v>
      </c>
      <c r="DG41" s="140">
        <f t="shared" si="208"/>
        <v>3230.7299419289266</v>
      </c>
      <c r="DH41" s="141"/>
      <c r="DI41" s="140">
        <f t="shared" si="209"/>
        <v>5950</v>
      </c>
      <c r="DJ41" s="140">
        <f t="shared" si="210"/>
        <v>49292.312133166772</v>
      </c>
      <c r="DK41" s="140">
        <f t="shared" si="211"/>
        <v>-29693735.080342539</v>
      </c>
      <c r="DL41" s="140">
        <f t="shared" si="212"/>
        <v>66.6229047643548</v>
      </c>
      <c r="DM41" s="140">
        <f t="shared" si="213"/>
        <v>20.657634437343141</v>
      </c>
      <c r="DN41" s="140">
        <f t="shared" si="214"/>
        <v>-39555395.471441172</v>
      </c>
      <c r="DO41" s="140">
        <f t="shared" si="215"/>
        <v>77.497996749361945</v>
      </c>
      <c r="DP41" s="140">
        <f t="shared" si="216"/>
        <v>759.31635057578433</v>
      </c>
      <c r="DQ41" s="141"/>
      <c r="DR41" s="141"/>
      <c r="DS41" s="141"/>
      <c r="DT41" s="41" t="str">
        <f t="shared" si="84"/>
        <v>C156</v>
      </c>
      <c r="DU41" s="55">
        <f t="shared" si="85"/>
        <v>10</v>
      </c>
      <c r="DV41" s="56" t="str">
        <f t="shared" si="86"/>
        <v>φ</v>
      </c>
      <c r="DW41" s="57">
        <f t="shared" si="87"/>
        <v>14</v>
      </c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  <c r="FK41" s="141"/>
      <c r="FL41" s="141"/>
      <c r="FM41" s="141"/>
      <c r="FN41" s="141"/>
      <c r="FO41" s="141"/>
      <c r="FP41" s="141"/>
      <c r="FQ41" s="141"/>
      <c r="FR41" s="141"/>
      <c r="FS41" s="141"/>
      <c r="FT41" s="141"/>
      <c r="FU41" s="141"/>
      <c r="FV41" s="141"/>
      <c r="FW41" s="141"/>
      <c r="FX41" s="141"/>
      <c r="FY41" s="141"/>
      <c r="FZ41" s="141"/>
      <c r="GA41" s="141"/>
      <c r="GB41" s="141"/>
      <c r="GC41" s="141"/>
      <c r="GD41" s="141"/>
      <c r="GE41" s="141"/>
      <c r="GF41" s="141"/>
      <c r="GG41" s="141"/>
      <c r="GH41" s="141"/>
      <c r="GI41" s="141"/>
      <c r="GJ41" s="141"/>
      <c r="GK41" s="141"/>
      <c r="GL41" s="141"/>
      <c r="GM41" s="141"/>
      <c r="GN41" s="141"/>
      <c r="GO41" s="141"/>
      <c r="GP41" s="141"/>
      <c r="GQ41" s="141"/>
      <c r="GR41" s="141"/>
      <c r="GS41" s="141"/>
      <c r="GT41" s="141"/>
      <c r="GU41" s="141"/>
      <c r="GV41" s="141"/>
      <c r="GW41" s="141"/>
      <c r="GX41" s="141"/>
      <c r="GY41" s="141"/>
      <c r="GZ41" s="141"/>
      <c r="HA41" s="141"/>
      <c r="HB41" s="141"/>
      <c r="HC41" s="141"/>
      <c r="HD41" s="141"/>
      <c r="HE41" s="141"/>
      <c r="HF41" s="141"/>
      <c r="HG41" s="141"/>
      <c r="HH41" s="141"/>
      <c r="HI41" s="141"/>
      <c r="HJ41" s="141"/>
      <c r="HK41" s="141"/>
      <c r="HL41" s="141"/>
      <c r="HM41" s="141"/>
      <c r="HN41" s="141"/>
      <c r="HO41" s="141"/>
      <c r="HP41" s="141"/>
      <c r="HQ41" s="141"/>
      <c r="HR41" s="141"/>
      <c r="HS41" s="141"/>
      <c r="HT41" s="141"/>
      <c r="HU41" s="141"/>
      <c r="HV41" s="141"/>
      <c r="HW41" s="141"/>
      <c r="HX41" s="141"/>
      <c r="HY41" s="141"/>
      <c r="HZ41" s="141"/>
      <c r="IA41" s="141"/>
      <c r="IB41" s="141"/>
      <c r="IC41" s="141"/>
      <c r="ID41" s="141"/>
      <c r="IE41" s="141"/>
      <c r="IF41" s="141"/>
      <c r="IG41" s="141"/>
      <c r="IH41" s="141"/>
      <c r="II41" s="141"/>
      <c r="IJ41" s="141"/>
      <c r="IK41" s="141"/>
      <c r="IL41" s="141"/>
      <c r="IM41" s="141"/>
      <c r="IN41" s="141"/>
      <c r="IO41" s="141"/>
      <c r="IP41" s="141"/>
      <c r="IQ41" s="141"/>
      <c r="IR41" s="141"/>
      <c r="IS41" s="141"/>
      <c r="IT41" s="141"/>
      <c r="IU41" s="141"/>
      <c r="IV41" s="141"/>
    </row>
    <row r="42" spans="1:256" ht="16.5" customHeight="1" thickTop="1" thickBot="1" x14ac:dyDescent="0.3">
      <c r="A42" s="42" t="s">
        <v>145</v>
      </c>
      <c r="B42" s="175" t="s">
        <v>189</v>
      </c>
      <c r="C42" s="93"/>
      <c r="D42" s="43">
        <v>300</v>
      </c>
      <c r="E42" s="43">
        <v>500</v>
      </c>
      <c r="F42" s="42">
        <v>2900</v>
      </c>
      <c r="G42" s="94">
        <v>257.43</v>
      </c>
      <c r="H42" s="94">
        <v>43.38</v>
      </c>
      <c r="I42" s="94">
        <v>-43.9</v>
      </c>
      <c r="J42" s="94">
        <v>-11.69</v>
      </c>
      <c r="K42" s="94">
        <v>11.17</v>
      </c>
      <c r="L42" s="43">
        <f t="shared" si="138"/>
        <v>17.399999999999999</v>
      </c>
      <c r="M42" s="43">
        <f t="shared" si="139"/>
        <v>45.857858769931667</v>
      </c>
      <c r="N42" s="44" t="str">
        <f t="shared" si="140"/>
        <v>sho.col</v>
      </c>
      <c r="P42" s="46">
        <f t="shared" si="141"/>
        <v>43.38</v>
      </c>
      <c r="Q42" s="46">
        <f t="shared" si="142"/>
        <v>43.9</v>
      </c>
      <c r="R42" s="46">
        <f t="shared" si="143"/>
        <v>11.69</v>
      </c>
      <c r="S42" s="46">
        <f t="shared" si="144"/>
        <v>11.17</v>
      </c>
      <c r="U42" s="289"/>
      <c r="V42" s="301"/>
      <c r="W42" s="15" t="s">
        <v>99</v>
      </c>
      <c r="X42" s="43">
        <v>0</v>
      </c>
      <c r="Y42" s="43">
        <f>(Y39*Y40^3/12)/Y41</f>
        <v>4102564.1025641025</v>
      </c>
      <c r="Z42" s="293"/>
      <c r="AA42" s="293"/>
      <c r="AB42" s="293"/>
      <c r="AC42" s="295"/>
      <c r="AD42" s="294"/>
      <c r="AE42" s="293"/>
      <c r="AJ42" s="306" t="str">
        <f t="shared" si="145"/>
        <v>C160</v>
      </c>
      <c r="AK42" s="307"/>
      <c r="AL42" s="43">
        <v>300</v>
      </c>
      <c r="AM42" s="43">
        <v>500</v>
      </c>
      <c r="AN42" s="43">
        <f t="shared" si="146"/>
        <v>440</v>
      </c>
      <c r="AO42" s="43">
        <f t="shared" si="147"/>
        <v>257.43</v>
      </c>
      <c r="AP42" s="43">
        <f t="shared" si="148"/>
        <v>43.38</v>
      </c>
      <c r="AQ42" s="43">
        <f t="shared" si="149"/>
        <v>11.69</v>
      </c>
      <c r="AR42" s="43">
        <f t="shared" si="150"/>
        <v>53.871025641025639</v>
      </c>
      <c r="AS42" s="43">
        <f t="shared" si="151"/>
        <v>25.705076923076923</v>
      </c>
      <c r="AT42" s="43">
        <f t="shared" si="152"/>
        <v>53.871025641025639</v>
      </c>
      <c r="AU42" s="43">
        <f t="shared" si="153"/>
        <v>0.20926475407305145</v>
      </c>
      <c r="AV42" s="44" t="str">
        <f t="shared" si="154"/>
        <v>Compression</v>
      </c>
      <c r="AW42" s="43">
        <f t="shared" si="155"/>
        <v>1500</v>
      </c>
      <c r="AX42" s="43">
        <f t="shared" si="156"/>
        <v>375</v>
      </c>
      <c r="AY42" s="43">
        <f t="shared" si="157"/>
        <v>0.01</v>
      </c>
      <c r="AZ42" s="47">
        <f t="shared" si="158"/>
        <v>10</v>
      </c>
      <c r="BA42" s="48" t="s">
        <v>65</v>
      </c>
      <c r="BB42" s="49">
        <v>14</v>
      </c>
      <c r="BC42" s="94">
        <v>26.45</v>
      </c>
      <c r="BD42" s="43">
        <f t="shared" si="159"/>
        <v>105.83005244258362</v>
      </c>
      <c r="BE42" s="43">
        <f t="shared" si="217"/>
        <v>-51.430052442583623</v>
      </c>
      <c r="BF42" s="43">
        <f t="shared" si="160"/>
        <v>110</v>
      </c>
      <c r="BG42" s="43">
        <f t="shared" si="161"/>
        <v>500</v>
      </c>
      <c r="BH42" s="44">
        <f t="shared" si="218"/>
        <v>110</v>
      </c>
      <c r="BI42" s="50" t="str">
        <f t="shared" si="162"/>
        <v>Use Φ10@110mm</v>
      </c>
      <c r="BJ42" s="43">
        <f t="shared" si="163"/>
        <v>300</v>
      </c>
      <c r="BK42" s="43">
        <f t="shared" si="164"/>
        <v>500</v>
      </c>
      <c r="BL42" s="43">
        <f t="shared" si="165"/>
        <v>220</v>
      </c>
      <c r="BM42" s="43">
        <f t="shared" si="172"/>
        <v>120</v>
      </c>
      <c r="BN42" s="43">
        <f t="shared" si="173"/>
        <v>460.90909090909082</v>
      </c>
      <c r="BO42" s="43">
        <f t="shared" si="174"/>
        <v>345.00000000000006</v>
      </c>
      <c r="BP42" s="43">
        <f t="shared" si="175"/>
        <v>1561.6369999999999</v>
      </c>
      <c r="BQ42" s="43">
        <f t="shared" si="176"/>
        <v>1389.962</v>
      </c>
      <c r="BR42" s="43">
        <f t="shared" si="166"/>
        <v>279.61703</v>
      </c>
      <c r="BS42" s="43">
        <f t="shared" si="177"/>
        <v>167.93657999999999</v>
      </c>
      <c r="BT42" s="43">
        <f t="shared" si="178"/>
        <v>0.17905379419160791</v>
      </c>
      <c r="BU42" s="43">
        <f t="shared" si="179"/>
        <v>0.12082098647301148</v>
      </c>
      <c r="BV42" s="43">
        <f t="shared" si="167"/>
        <v>0.16851182845822166</v>
      </c>
      <c r="BW42" s="43">
        <f t="shared" si="168"/>
        <v>4.5410402827953229E-2</v>
      </c>
      <c r="BX42" s="44" t="str">
        <f t="shared" si="180"/>
        <v>Compression Controls</v>
      </c>
      <c r="BY42" s="44" t="str">
        <f t="shared" si="181"/>
        <v>Compression Controls</v>
      </c>
      <c r="BZ42" s="43">
        <f t="shared" si="182"/>
        <v>1650.6160809633386</v>
      </c>
      <c r="CA42" s="43">
        <f t="shared" si="183"/>
        <v>2702.7530512176418</v>
      </c>
      <c r="CB42" s="43">
        <f t="shared" si="184"/>
        <v>4180.1480000000001</v>
      </c>
      <c r="CC42" s="43">
        <f t="shared" si="169"/>
        <v>882.43097121412393</v>
      </c>
      <c r="CD42" s="51" t="str">
        <f t="shared" si="170"/>
        <v xml:space="preserve">Safe </v>
      </c>
      <c r="CE42" s="1"/>
      <c r="CF42" s="1"/>
      <c r="CG42" s="43">
        <f t="shared" si="171"/>
        <v>385</v>
      </c>
      <c r="CH42" s="43">
        <f t="shared" si="185"/>
        <v>440</v>
      </c>
      <c r="CI42" s="43">
        <f t="shared" si="186"/>
        <v>358.51182845822166</v>
      </c>
      <c r="CJ42" s="52">
        <f t="shared" si="187"/>
        <v>9.9578304441244452</v>
      </c>
      <c r="CK42" s="52">
        <f t="shared" si="188"/>
        <v>-1622.8907908295107</v>
      </c>
      <c r="CL42" s="52">
        <f t="shared" si="189"/>
        <v>221857.36937449413</v>
      </c>
      <c r="CM42" s="52">
        <f t="shared" si="190"/>
        <v>-86394000</v>
      </c>
      <c r="CN42" s="52">
        <f t="shared" si="191"/>
        <v>230.05758377113531</v>
      </c>
      <c r="CO42" s="53">
        <f t="shared" si="192"/>
        <v>1650.6160809633386</v>
      </c>
      <c r="CP42" s="1"/>
      <c r="CQ42" s="43">
        <f t="shared" si="193"/>
        <v>240</v>
      </c>
      <c r="CR42" s="43">
        <f t="shared" si="194"/>
        <v>135.41040282795322</v>
      </c>
      <c r="CS42" s="52">
        <f t="shared" si="195"/>
        <v>43.940494051700149</v>
      </c>
      <c r="CT42" s="52">
        <f t="shared" si="196"/>
        <v>-9191.4371448160746</v>
      </c>
      <c r="CU42" s="52">
        <f t="shared" si="197"/>
        <v>180770.74698999099</v>
      </c>
      <c r="CV42" s="52">
        <f t="shared" si="198"/>
        <v>-47124000</v>
      </c>
      <c r="CW42" s="52">
        <f t="shared" si="199"/>
        <v>213.4449024022353</v>
      </c>
      <c r="CX42" s="53">
        <f t="shared" si="200"/>
        <v>2702.7530512176418</v>
      </c>
      <c r="CY42" s="1"/>
      <c r="CZ42" s="52">
        <f t="shared" si="201"/>
        <v>3570</v>
      </c>
      <c r="DA42" s="52">
        <f t="shared" si="202"/>
        <v>-581825.54480829742</v>
      </c>
      <c r="DB42" s="54">
        <f t="shared" si="203"/>
        <v>-61249103.884162687</v>
      </c>
      <c r="DC42" s="54">
        <f t="shared" si="204"/>
        <v>235.75071992433539</v>
      </c>
      <c r="DD42" s="52">
        <f t="shared" si="205"/>
        <v>470.20188099607446</v>
      </c>
      <c r="DE42" s="52">
        <f t="shared" si="206"/>
        <v>-61249103.884162687</v>
      </c>
      <c r="DF42" s="52">
        <f t="shared" si="207"/>
        <v>235.75071992433539</v>
      </c>
      <c r="DG42" s="53">
        <f t="shared" si="208"/>
        <v>1674.0971402597547</v>
      </c>
      <c r="DH42" s="1"/>
      <c r="DI42" s="52">
        <f t="shared" si="209"/>
        <v>5950</v>
      </c>
      <c r="DJ42" s="52">
        <f t="shared" si="210"/>
        <v>-1244616.2063473568</v>
      </c>
      <c r="DK42" s="52">
        <f t="shared" si="211"/>
        <v>-28697425.521112535</v>
      </c>
      <c r="DL42" s="52">
        <f t="shared" si="212"/>
        <v>230.13672204095172</v>
      </c>
      <c r="DM42" s="52">
        <f t="shared" si="213"/>
        <v>455.91391304793291</v>
      </c>
      <c r="DN42" s="52">
        <f t="shared" si="214"/>
        <v>-28697425.521112535</v>
      </c>
      <c r="DO42" s="52">
        <f t="shared" si="215"/>
        <v>230.13672204095172</v>
      </c>
      <c r="DP42" s="53">
        <f t="shared" si="216"/>
        <v>2729.4639922873257</v>
      </c>
      <c r="DT42" s="41" t="str">
        <f t="shared" si="84"/>
        <v>C160</v>
      </c>
      <c r="DU42" s="55">
        <f t="shared" si="85"/>
        <v>10</v>
      </c>
      <c r="DV42" s="56" t="str">
        <f t="shared" si="86"/>
        <v>φ</v>
      </c>
      <c r="DW42" s="57">
        <f t="shared" si="87"/>
        <v>14</v>
      </c>
    </row>
    <row r="43" spans="1:256" s="169" customFormat="1" ht="16.5" customHeight="1" thickTop="1" thickBot="1" x14ac:dyDescent="0.3">
      <c r="A43" s="158" t="s">
        <v>145</v>
      </c>
      <c r="B43" s="181" t="s">
        <v>190</v>
      </c>
      <c r="C43" s="172"/>
      <c r="D43" s="160">
        <v>300</v>
      </c>
      <c r="E43" s="43">
        <v>600</v>
      </c>
      <c r="F43" s="158">
        <v>2900</v>
      </c>
      <c r="G43" s="159">
        <v>272.52999999999997</v>
      </c>
      <c r="H43" s="159">
        <v>-80.19</v>
      </c>
      <c r="I43" s="159">
        <v>64.67</v>
      </c>
      <c r="J43" s="159">
        <v>47.68</v>
      </c>
      <c r="K43" s="159">
        <v>-50.12</v>
      </c>
      <c r="L43" s="160">
        <f t="shared" si="138"/>
        <v>14.5</v>
      </c>
      <c r="M43" s="160">
        <f t="shared" si="139"/>
        <v>43.677515899738125</v>
      </c>
      <c r="N43" s="160" t="str">
        <f t="shared" si="140"/>
        <v>sho.col</v>
      </c>
      <c r="O43" s="161"/>
      <c r="P43" s="162">
        <f t="shared" si="141"/>
        <v>80.19</v>
      </c>
      <c r="Q43" s="162">
        <f t="shared" si="142"/>
        <v>64.67</v>
      </c>
      <c r="R43" s="162">
        <f t="shared" si="143"/>
        <v>47.68</v>
      </c>
      <c r="S43" s="162">
        <f t="shared" si="144"/>
        <v>50.12</v>
      </c>
      <c r="T43" s="161">
        <v>131.77000000000001</v>
      </c>
      <c r="U43" s="289"/>
      <c r="V43" s="300" t="s">
        <v>101</v>
      </c>
      <c r="W43" s="163" t="s">
        <v>86</v>
      </c>
      <c r="X43" s="160">
        <v>0</v>
      </c>
      <c r="Y43" s="160">
        <v>500</v>
      </c>
      <c r="Z43" s="293">
        <v>500</v>
      </c>
      <c r="AA43" s="293">
        <v>501</v>
      </c>
      <c r="AB43" s="293">
        <v>502</v>
      </c>
      <c r="AC43" s="292">
        <v>0</v>
      </c>
      <c r="AD43" s="292">
        <v>1</v>
      </c>
      <c r="AE43" s="293"/>
      <c r="AF43" s="161">
        <v>124.15</v>
      </c>
      <c r="AG43" s="161"/>
      <c r="AH43" s="161"/>
      <c r="AI43" s="161"/>
      <c r="AJ43" s="327" t="str">
        <f t="shared" si="145"/>
        <v>C168</v>
      </c>
      <c r="AK43" s="328"/>
      <c r="AL43" s="160">
        <v>300</v>
      </c>
      <c r="AM43" s="43">
        <v>600</v>
      </c>
      <c r="AN43" s="160">
        <f t="shared" si="146"/>
        <v>540</v>
      </c>
      <c r="AO43" s="160">
        <f t="shared" si="147"/>
        <v>272.52999999999997</v>
      </c>
      <c r="AP43" s="160">
        <f t="shared" si="148"/>
        <v>80.19</v>
      </c>
      <c r="AQ43" s="160">
        <f t="shared" si="149"/>
        <v>47.68</v>
      </c>
      <c r="AR43" s="160">
        <f t="shared" si="150"/>
        <v>131.53769230769231</v>
      </c>
      <c r="AS43" s="160">
        <f t="shared" si="151"/>
        <v>69.269615384615378</v>
      </c>
      <c r="AT43" s="160">
        <f t="shared" si="152"/>
        <v>131.53769230769231</v>
      </c>
      <c r="AU43" s="160">
        <f t="shared" si="153"/>
        <v>0.48265399151540134</v>
      </c>
      <c r="AV43" s="160" t="str">
        <f t="shared" si="154"/>
        <v>Compression</v>
      </c>
      <c r="AW43" s="160">
        <f t="shared" si="155"/>
        <v>1800</v>
      </c>
      <c r="AX43" s="160">
        <f t="shared" si="156"/>
        <v>450</v>
      </c>
      <c r="AY43" s="160">
        <f t="shared" si="157"/>
        <v>0.01</v>
      </c>
      <c r="AZ43" s="164">
        <f t="shared" si="158"/>
        <v>12</v>
      </c>
      <c r="BA43" s="165" t="s">
        <v>65</v>
      </c>
      <c r="BB43" s="166">
        <v>14</v>
      </c>
      <c r="BC43" s="159">
        <v>43.9</v>
      </c>
      <c r="BD43" s="160">
        <f t="shared" si="159"/>
        <v>126.99606293110035</v>
      </c>
      <c r="BE43" s="160">
        <f t="shared" si="217"/>
        <v>-114.90272959776701</v>
      </c>
      <c r="BF43" s="160">
        <f t="shared" si="160"/>
        <v>110</v>
      </c>
      <c r="BG43" s="160">
        <f t="shared" si="161"/>
        <v>600</v>
      </c>
      <c r="BH43" s="160" t="str">
        <f t="shared" si="218"/>
        <v>No Need Shear Reinf.</v>
      </c>
      <c r="BI43" s="167" t="str">
        <f t="shared" si="162"/>
        <v>Use Φ10@110mm</v>
      </c>
      <c r="BJ43" s="160">
        <f t="shared" si="163"/>
        <v>300</v>
      </c>
      <c r="BK43" s="160">
        <f t="shared" si="164"/>
        <v>600</v>
      </c>
      <c r="BL43" s="160">
        <f t="shared" si="165"/>
        <v>270</v>
      </c>
      <c r="BM43" s="160">
        <f t="shared" si="172"/>
        <v>120</v>
      </c>
      <c r="BN43" s="160">
        <f t="shared" si="173"/>
        <v>486.66666666666657</v>
      </c>
      <c r="BO43" s="160">
        <f t="shared" si="174"/>
        <v>345.00000000000006</v>
      </c>
      <c r="BP43" s="160">
        <f t="shared" si="175"/>
        <v>1916.8044</v>
      </c>
      <c r="BQ43" s="160">
        <f t="shared" si="176"/>
        <v>1667.9543999999999</v>
      </c>
      <c r="BR43" s="160">
        <f t="shared" si="166"/>
        <v>408.58725600000002</v>
      </c>
      <c r="BS43" s="160">
        <f t="shared" si="177"/>
        <v>201.52389600000001</v>
      </c>
      <c r="BT43" s="160">
        <f t="shared" si="178"/>
        <v>0.21316064174310118</v>
      </c>
      <c r="BU43" s="160">
        <f t="shared" si="179"/>
        <v>0.12082098647301151</v>
      </c>
      <c r="BV43" s="160">
        <f t="shared" si="167"/>
        <v>0.29424283565112103</v>
      </c>
      <c r="BW43" s="160">
        <f t="shared" si="168"/>
        <v>0.17495321615968887</v>
      </c>
      <c r="BX43" s="160" t="str">
        <f t="shared" si="180"/>
        <v>Tension Controls</v>
      </c>
      <c r="BY43" s="160" t="str">
        <f t="shared" si="181"/>
        <v>Tension Controls</v>
      </c>
      <c r="BZ43" s="160">
        <f t="shared" si="182"/>
        <v>1187.1026462408395</v>
      </c>
      <c r="CA43" s="160">
        <f t="shared" si="183"/>
        <v>712.13111909452789</v>
      </c>
      <c r="CB43" s="160">
        <f t="shared" si="184"/>
        <v>5016.1776</v>
      </c>
      <c r="CC43" s="160">
        <f t="shared" si="169"/>
        <v>317.49630223604464</v>
      </c>
      <c r="CD43" s="168" t="str">
        <f t="shared" si="170"/>
        <v xml:space="preserve">Safe </v>
      </c>
      <c r="CE43" s="161"/>
      <c r="CF43" s="161"/>
      <c r="CG43" s="160">
        <f t="shared" si="171"/>
        <v>462</v>
      </c>
      <c r="CH43" s="160">
        <f t="shared" si="185"/>
        <v>540</v>
      </c>
      <c r="CI43" s="160">
        <f t="shared" si="186"/>
        <v>534.24283565112103</v>
      </c>
      <c r="CJ43" s="160">
        <f t="shared" si="187"/>
        <v>6.6823544683551601</v>
      </c>
      <c r="CK43" s="160">
        <f t="shared" si="188"/>
        <v>-76.942825823572591</v>
      </c>
      <c r="CL43" s="160">
        <f t="shared" si="189"/>
        <v>295784.89556337625</v>
      </c>
      <c r="CM43" s="160">
        <f t="shared" si="190"/>
        <v>-127234800</v>
      </c>
      <c r="CN43" s="160">
        <f t="shared" si="191"/>
        <v>215.65929002697447</v>
      </c>
      <c r="CO43" s="160">
        <f t="shared" si="192"/>
        <v>1410.0711183919655</v>
      </c>
      <c r="CP43" s="161"/>
      <c r="CQ43" s="160">
        <f t="shared" si="193"/>
        <v>240</v>
      </c>
      <c r="CR43" s="160">
        <f t="shared" si="194"/>
        <v>264.95321615968885</v>
      </c>
      <c r="CS43" s="160">
        <f t="shared" si="195"/>
        <v>26.948153728757458</v>
      </c>
      <c r="CT43" s="160">
        <f t="shared" si="196"/>
        <v>1344.8862101964203</v>
      </c>
      <c r="CU43" s="160">
        <f t="shared" si="197"/>
        <v>335890.40091458388</v>
      </c>
      <c r="CV43" s="160">
        <f t="shared" si="198"/>
        <v>-56548800</v>
      </c>
      <c r="CW43" s="160">
        <f t="shared" si="199"/>
        <v>86.491704568247343</v>
      </c>
      <c r="CX43" s="160">
        <f t="shared" si="200"/>
        <v>1041.5398880149887</v>
      </c>
      <c r="CY43" s="161"/>
      <c r="CZ43" s="160">
        <f t="shared" si="201"/>
        <v>3570</v>
      </c>
      <c r="DA43" s="160">
        <f t="shared" si="202"/>
        <v>-41106.153450995866</v>
      </c>
      <c r="DB43" s="162">
        <f t="shared" si="203"/>
        <v>-93735632.523685455</v>
      </c>
      <c r="DC43" s="162">
        <f t="shared" si="204"/>
        <v>167.89791998993095</v>
      </c>
      <c r="DD43" s="160">
        <f t="shared" si="205"/>
        <v>417.7464020886315</v>
      </c>
      <c r="DE43" s="160">
        <f t="shared" si="206"/>
        <v>-93792108.115687549</v>
      </c>
      <c r="DF43" s="160">
        <f t="shared" si="207"/>
        <v>167.94669586497082</v>
      </c>
      <c r="DG43" s="160">
        <f t="shared" si="208"/>
        <v>1187.1026462408395</v>
      </c>
      <c r="DH43" s="161"/>
      <c r="DI43" s="160">
        <f t="shared" si="209"/>
        <v>7140</v>
      </c>
      <c r="DJ43" s="160">
        <f t="shared" si="210"/>
        <v>356331.92676035676</v>
      </c>
      <c r="DK43" s="160">
        <f t="shared" si="211"/>
        <v>-35861311.583605468</v>
      </c>
      <c r="DL43" s="160">
        <f t="shared" si="212"/>
        <v>50.181700194030682</v>
      </c>
      <c r="DM43" s="160">
        <f t="shared" si="213"/>
        <v>-2.9242761530996519</v>
      </c>
      <c r="DN43" s="160">
        <f t="shared" si="214"/>
        <v>-52460406.766066439</v>
      </c>
      <c r="DO43" s="160">
        <f t="shared" si="215"/>
        <v>64.321970215494389</v>
      </c>
      <c r="DP43" s="160">
        <f t="shared" si="216"/>
        <v>712.13111909452789</v>
      </c>
      <c r="DQ43" s="161"/>
      <c r="DR43" s="161"/>
      <c r="DS43" s="161"/>
      <c r="DT43" s="41" t="str">
        <f t="shared" si="84"/>
        <v>C168</v>
      </c>
      <c r="DU43" s="55">
        <f t="shared" si="85"/>
        <v>12</v>
      </c>
      <c r="DV43" s="56" t="str">
        <f t="shared" si="86"/>
        <v>φ</v>
      </c>
      <c r="DW43" s="57">
        <f t="shared" si="87"/>
        <v>14</v>
      </c>
      <c r="DX43" s="161"/>
      <c r="DY43" s="161"/>
      <c r="DZ43" s="161"/>
      <c r="EA43" s="161"/>
      <c r="EB43" s="161"/>
      <c r="EC43" s="161"/>
      <c r="ED43" s="161"/>
      <c r="EE43" s="161"/>
      <c r="EF43" s="161"/>
      <c r="EG43" s="161"/>
      <c r="EH43" s="161"/>
      <c r="EI43" s="161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161"/>
      <c r="EY43" s="161"/>
      <c r="EZ43" s="161"/>
      <c r="FA43" s="161"/>
      <c r="FB43" s="161"/>
      <c r="FC43" s="161"/>
      <c r="FD43" s="161"/>
      <c r="FE43" s="161"/>
      <c r="FF43" s="161"/>
      <c r="FG43" s="161"/>
      <c r="FH43" s="161"/>
      <c r="FI43" s="161"/>
      <c r="FJ43" s="161"/>
      <c r="FK43" s="161"/>
      <c r="FL43" s="161"/>
      <c r="FM43" s="161"/>
      <c r="FN43" s="161"/>
      <c r="FO43" s="161"/>
      <c r="FP43" s="161"/>
      <c r="FQ43" s="161"/>
      <c r="FR43" s="161"/>
      <c r="FS43" s="161"/>
      <c r="FT43" s="161"/>
      <c r="FU43" s="161"/>
      <c r="FV43" s="161"/>
      <c r="FW43" s="161"/>
      <c r="FX43" s="161"/>
      <c r="FY43" s="161"/>
      <c r="FZ43" s="161"/>
      <c r="GA43" s="161"/>
      <c r="GB43" s="161"/>
      <c r="GC43" s="161"/>
      <c r="GD43" s="161"/>
      <c r="GE43" s="161"/>
      <c r="GF43" s="161"/>
      <c r="GG43" s="161"/>
      <c r="GH43" s="161"/>
      <c r="GI43" s="161"/>
      <c r="GJ43" s="161"/>
      <c r="GK43" s="161"/>
      <c r="GL43" s="161"/>
      <c r="GM43" s="161"/>
      <c r="GN43" s="161"/>
      <c r="GO43" s="161"/>
      <c r="GP43" s="161"/>
      <c r="GQ43" s="161"/>
      <c r="GR43" s="161"/>
      <c r="GS43" s="161"/>
      <c r="GT43" s="161"/>
      <c r="GU43" s="161"/>
      <c r="GV43" s="161"/>
      <c r="GW43" s="161"/>
      <c r="GX43" s="161"/>
      <c r="GY43" s="161"/>
      <c r="GZ43" s="161"/>
      <c r="HA43" s="161"/>
      <c r="HB43" s="161"/>
      <c r="HC43" s="161"/>
      <c r="HD43" s="161"/>
      <c r="HE43" s="161"/>
      <c r="HF43" s="161"/>
      <c r="HG43" s="161"/>
      <c r="HH43" s="161"/>
      <c r="HI43" s="161"/>
      <c r="HJ43" s="161"/>
      <c r="HK43" s="161"/>
      <c r="HL43" s="161"/>
      <c r="HM43" s="161"/>
      <c r="HN43" s="161"/>
      <c r="HO43" s="161"/>
      <c r="HP43" s="161"/>
      <c r="HQ43" s="161"/>
      <c r="HR43" s="161"/>
      <c r="HS43" s="161"/>
      <c r="HT43" s="161"/>
      <c r="HU43" s="161"/>
      <c r="HV43" s="161"/>
      <c r="HW43" s="161"/>
      <c r="HX43" s="161"/>
      <c r="HY43" s="161"/>
      <c r="HZ43" s="161"/>
      <c r="IA43" s="161"/>
      <c r="IB43" s="161"/>
      <c r="IC43" s="161"/>
      <c r="ID43" s="161"/>
      <c r="IE43" s="161"/>
      <c r="IF43" s="161"/>
      <c r="IG43" s="161"/>
      <c r="IH43" s="161"/>
      <c r="II43" s="161"/>
      <c r="IJ43" s="161"/>
      <c r="IK43" s="161"/>
      <c r="IL43" s="161"/>
      <c r="IM43" s="161"/>
      <c r="IN43" s="161"/>
      <c r="IO43" s="161"/>
      <c r="IP43" s="161"/>
      <c r="IQ43" s="161"/>
      <c r="IR43" s="161"/>
      <c r="IS43" s="161"/>
      <c r="IT43" s="161"/>
      <c r="IU43" s="161"/>
      <c r="IV43" s="161"/>
    </row>
    <row r="44" spans="1:256" ht="16.5" customHeight="1" thickTop="1" thickBot="1" x14ac:dyDescent="0.3">
      <c r="A44" s="42" t="s">
        <v>145</v>
      </c>
      <c r="B44" s="175" t="s">
        <v>191</v>
      </c>
      <c r="C44" s="93"/>
      <c r="D44" s="43">
        <v>300</v>
      </c>
      <c r="E44" s="43">
        <v>500</v>
      </c>
      <c r="F44" s="42">
        <v>2900</v>
      </c>
      <c r="G44" s="94">
        <v>260.08</v>
      </c>
      <c r="H44" s="94">
        <v>0</v>
      </c>
      <c r="I44" s="94">
        <v>16.190000000000001</v>
      </c>
      <c r="J44" s="94">
        <v>0</v>
      </c>
      <c r="K44" s="94">
        <v>0.45</v>
      </c>
      <c r="L44" s="43">
        <f t="shared" si="138"/>
        <v>17.399999999999999</v>
      </c>
      <c r="M44" s="43">
        <f t="shared" si="139"/>
        <v>34</v>
      </c>
      <c r="N44" s="44" t="str">
        <f t="shared" si="140"/>
        <v>sho.col</v>
      </c>
      <c r="P44" s="46">
        <f t="shared" si="141"/>
        <v>0</v>
      </c>
      <c r="Q44" s="46">
        <f t="shared" si="142"/>
        <v>16.190000000000001</v>
      </c>
      <c r="R44" s="46">
        <f t="shared" si="143"/>
        <v>0</v>
      </c>
      <c r="S44" s="46">
        <f t="shared" si="144"/>
        <v>0.45</v>
      </c>
      <c r="U44" s="289"/>
      <c r="V44" s="298"/>
      <c r="W44" s="15" t="s">
        <v>97</v>
      </c>
      <c r="X44" s="43">
        <v>0</v>
      </c>
      <c r="Y44" s="43">
        <v>800</v>
      </c>
      <c r="Z44" s="295"/>
      <c r="AA44" s="295"/>
      <c r="AB44" s="295"/>
      <c r="AC44" s="295"/>
      <c r="AD44" s="293"/>
      <c r="AE44" s="293"/>
      <c r="AJ44" s="306" t="str">
        <f t="shared" si="145"/>
        <v>C152</v>
      </c>
      <c r="AK44" s="307"/>
      <c r="AL44" s="43">
        <v>300</v>
      </c>
      <c r="AM44" s="43">
        <v>500</v>
      </c>
      <c r="AN44" s="43">
        <f t="shared" si="146"/>
        <v>440</v>
      </c>
      <c r="AO44" s="43">
        <f t="shared" si="147"/>
        <v>260.08</v>
      </c>
      <c r="AP44" s="43">
        <f t="shared" si="148"/>
        <v>0</v>
      </c>
      <c r="AQ44" s="43">
        <f t="shared" si="149"/>
        <v>0</v>
      </c>
      <c r="AR44" s="43">
        <f t="shared" si="150"/>
        <v>0</v>
      </c>
      <c r="AS44" s="43">
        <f t="shared" si="151"/>
        <v>0</v>
      </c>
      <c r="AT44" s="43">
        <f t="shared" si="152"/>
        <v>0</v>
      </c>
      <c r="AU44" s="43">
        <f t="shared" si="153"/>
        <v>0</v>
      </c>
      <c r="AV44" s="44" t="str">
        <f t="shared" si="154"/>
        <v>Compression</v>
      </c>
      <c r="AW44" s="43">
        <f t="shared" si="155"/>
        <v>1500</v>
      </c>
      <c r="AX44" s="43">
        <f t="shared" si="156"/>
        <v>375</v>
      </c>
      <c r="AY44" s="43">
        <f t="shared" si="157"/>
        <v>0.01</v>
      </c>
      <c r="AZ44" s="47">
        <f t="shared" si="158"/>
        <v>10</v>
      </c>
      <c r="BA44" s="48" t="s">
        <v>65</v>
      </c>
      <c r="BB44" s="49">
        <v>14</v>
      </c>
      <c r="BC44" s="94">
        <v>4.91</v>
      </c>
      <c r="BD44" s="43">
        <f t="shared" si="159"/>
        <v>105.83005244258362</v>
      </c>
      <c r="BE44" s="43">
        <f t="shared" si="217"/>
        <v>-101.45671910925029</v>
      </c>
      <c r="BF44" s="43">
        <f t="shared" si="160"/>
        <v>110</v>
      </c>
      <c r="BG44" s="43">
        <f t="shared" si="161"/>
        <v>500</v>
      </c>
      <c r="BH44" s="44" t="str">
        <f t="shared" si="218"/>
        <v>No Need Shear Reinf.</v>
      </c>
      <c r="BI44" s="50" t="str">
        <f t="shared" si="162"/>
        <v>Use Φ10@110mm</v>
      </c>
      <c r="BJ44" s="43">
        <f t="shared" si="163"/>
        <v>300</v>
      </c>
      <c r="BK44" s="43">
        <f t="shared" si="164"/>
        <v>500</v>
      </c>
      <c r="BL44" s="43">
        <f t="shared" si="165"/>
        <v>220</v>
      </c>
      <c r="BM44" s="43">
        <f t="shared" si="172"/>
        <v>120</v>
      </c>
      <c r="BN44" s="43">
        <f t="shared" si="173"/>
        <v>460.90909090909082</v>
      </c>
      <c r="BO44" s="43">
        <f t="shared" si="174"/>
        <v>345.00000000000006</v>
      </c>
      <c r="BP44" s="43">
        <f t="shared" si="175"/>
        <v>1561.6369999999999</v>
      </c>
      <c r="BQ44" s="43">
        <f t="shared" si="176"/>
        <v>1389.962</v>
      </c>
      <c r="BR44" s="43">
        <f t="shared" si="166"/>
        <v>279.61703</v>
      </c>
      <c r="BS44" s="43">
        <f t="shared" si="177"/>
        <v>167.93657999999999</v>
      </c>
      <c r="BT44" s="43">
        <f t="shared" si="178"/>
        <v>0.17905379419160791</v>
      </c>
      <c r="BU44" s="43">
        <f t="shared" si="179"/>
        <v>0.12082098647301148</v>
      </c>
      <c r="BV44" s="43">
        <f t="shared" si="167"/>
        <v>0</v>
      </c>
      <c r="BW44" s="43">
        <f t="shared" si="168"/>
        <v>0</v>
      </c>
      <c r="BX44" s="44" t="str">
        <f t="shared" si="180"/>
        <v>Compression Controls</v>
      </c>
      <c r="BY44" s="44" t="str">
        <f t="shared" si="181"/>
        <v>Compression Controls</v>
      </c>
      <c r="BZ44" s="43">
        <f t="shared" si="182"/>
        <v>3851.9174587945918</v>
      </c>
      <c r="CA44" s="43">
        <f t="shared" si="183"/>
        <v>3843.8387769030451</v>
      </c>
      <c r="CB44" s="43">
        <f t="shared" si="184"/>
        <v>4180.1480000000001</v>
      </c>
      <c r="CC44" s="43">
        <f t="shared" si="169"/>
        <v>2173.6769600000002</v>
      </c>
      <c r="CD44" s="51" t="str">
        <f t="shared" si="170"/>
        <v xml:space="preserve">Safe </v>
      </c>
      <c r="CE44" s="1"/>
      <c r="CF44" s="1"/>
      <c r="CG44" s="43">
        <f t="shared" si="171"/>
        <v>385</v>
      </c>
      <c r="CH44" s="43">
        <f t="shared" si="185"/>
        <v>440</v>
      </c>
      <c r="CI44" s="43">
        <f t="shared" si="186"/>
        <v>190</v>
      </c>
      <c r="CJ44" s="52">
        <f t="shared" si="187"/>
        <v>18.789473684210527</v>
      </c>
      <c r="CK44" s="52">
        <f t="shared" si="188"/>
        <v>-9394.7368421052633</v>
      </c>
      <c r="CL44" s="52">
        <f t="shared" si="189"/>
        <v>78463</v>
      </c>
      <c r="CM44" s="52">
        <f t="shared" si="190"/>
        <v>-86394000</v>
      </c>
      <c r="CN44" s="52">
        <f t="shared" si="191"/>
        <v>509.51561666641385</v>
      </c>
      <c r="CO44" s="53">
        <f t="shared" si="192"/>
        <v>3851.9174587945918</v>
      </c>
      <c r="CP44" s="1"/>
      <c r="CQ44" s="43">
        <f t="shared" si="193"/>
        <v>240</v>
      </c>
      <c r="CR44" s="43">
        <f t="shared" si="194"/>
        <v>90</v>
      </c>
      <c r="CS44" s="52">
        <f t="shared" si="195"/>
        <v>66.111111111111114</v>
      </c>
      <c r="CT44" s="52">
        <f t="shared" si="196"/>
        <v>-19833.333333333332</v>
      </c>
      <c r="CU44" s="52">
        <f t="shared" si="197"/>
        <v>78463</v>
      </c>
      <c r="CV44" s="52">
        <f t="shared" si="198"/>
        <v>-47124000</v>
      </c>
      <c r="CW44" s="52">
        <f t="shared" si="199"/>
        <v>303.81587231598206</v>
      </c>
      <c r="CX44" s="53">
        <f t="shared" si="200"/>
        <v>3843.8387769030451</v>
      </c>
      <c r="CY44" s="1"/>
      <c r="CZ44" s="52">
        <f t="shared" si="201"/>
        <v>3570</v>
      </c>
      <c r="DA44" s="52">
        <f t="shared" si="202"/>
        <v>-1785000</v>
      </c>
      <c r="DB44" s="54">
        <f t="shared" si="203"/>
        <v>-59705030</v>
      </c>
      <c r="DC44" s="54">
        <f t="shared" si="204"/>
        <v>531.46775666000474</v>
      </c>
      <c r="DD44" s="52">
        <f t="shared" si="205"/>
        <v>542.42360027199982</v>
      </c>
      <c r="DE44" s="52">
        <f t="shared" si="206"/>
        <v>-59705030</v>
      </c>
      <c r="DF44" s="52">
        <f t="shared" si="207"/>
        <v>531.46775666000474</v>
      </c>
      <c r="DG44" s="53">
        <f t="shared" si="208"/>
        <v>3785.5167825524341</v>
      </c>
      <c r="DH44" s="1"/>
      <c r="DI44" s="52">
        <f t="shared" si="209"/>
        <v>5950</v>
      </c>
      <c r="DJ44" s="52">
        <f t="shared" si="210"/>
        <v>-1785000</v>
      </c>
      <c r="DK44" s="52">
        <f t="shared" si="211"/>
        <v>-28281330</v>
      </c>
      <c r="DL44" s="52">
        <f t="shared" si="212"/>
        <v>315.08532553162428</v>
      </c>
      <c r="DM44" s="52">
        <f t="shared" si="213"/>
        <v>298.13886794329159</v>
      </c>
      <c r="DN44" s="52">
        <f t="shared" si="214"/>
        <v>-24058841.774235055</v>
      </c>
      <c r="DO44" s="52">
        <f t="shared" si="215"/>
        <v>312.92176901568183</v>
      </c>
      <c r="DP44" s="53">
        <f t="shared" si="216"/>
        <v>3667.6895154447811</v>
      </c>
      <c r="DT44" s="41" t="str">
        <f t="shared" si="84"/>
        <v>C152</v>
      </c>
      <c r="DU44" s="55">
        <f t="shared" si="85"/>
        <v>10</v>
      </c>
      <c r="DV44" s="56" t="str">
        <f t="shared" si="86"/>
        <v>φ</v>
      </c>
      <c r="DW44" s="57">
        <f t="shared" si="87"/>
        <v>14</v>
      </c>
    </row>
    <row r="45" spans="1:256" ht="16.5" customHeight="1" thickTop="1" thickBot="1" x14ac:dyDescent="0.3">
      <c r="A45" s="42" t="s">
        <v>145</v>
      </c>
      <c r="B45" s="175" t="s">
        <v>192</v>
      </c>
      <c r="C45" s="93"/>
      <c r="D45" s="43">
        <v>300</v>
      </c>
      <c r="E45" s="43">
        <v>500</v>
      </c>
      <c r="F45" s="42">
        <v>2900</v>
      </c>
      <c r="G45" s="94">
        <v>288.37</v>
      </c>
      <c r="H45" s="94">
        <v>0</v>
      </c>
      <c r="I45" s="94">
        <v>15.31</v>
      </c>
      <c r="J45" s="94">
        <v>0</v>
      </c>
      <c r="K45" s="94">
        <v>0.44</v>
      </c>
      <c r="L45" s="43">
        <f t="shared" si="138"/>
        <v>17.399999999999999</v>
      </c>
      <c r="M45" s="43">
        <f t="shared" si="139"/>
        <v>34</v>
      </c>
      <c r="N45" s="44" t="str">
        <f t="shared" si="140"/>
        <v>sho.col</v>
      </c>
      <c r="P45" s="46">
        <f t="shared" si="141"/>
        <v>0</v>
      </c>
      <c r="Q45" s="46">
        <f t="shared" si="142"/>
        <v>15.31</v>
      </c>
      <c r="R45" s="46">
        <f t="shared" si="143"/>
        <v>0</v>
      </c>
      <c r="S45" s="46">
        <f t="shared" si="144"/>
        <v>0.44</v>
      </c>
      <c r="U45" s="289"/>
      <c r="V45" s="298"/>
      <c r="W45" s="15" t="s">
        <v>98</v>
      </c>
      <c r="X45" s="43">
        <v>0</v>
      </c>
      <c r="Y45" s="43">
        <v>5200</v>
      </c>
      <c r="Z45" s="292">
        <v>0</v>
      </c>
      <c r="AA45" s="292">
        <v>0</v>
      </c>
      <c r="AB45" s="292">
        <v>0</v>
      </c>
      <c r="AC45" s="292">
        <v>0</v>
      </c>
      <c r="AD45" s="293"/>
      <c r="AE45" s="293"/>
      <c r="AJ45" s="306" t="str">
        <f t="shared" si="145"/>
        <v>C153</v>
      </c>
      <c r="AK45" s="307"/>
      <c r="AL45" s="43">
        <v>300</v>
      </c>
      <c r="AM45" s="43">
        <v>500</v>
      </c>
      <c r="AN45" s="43">
        <f t="shared" si="146"/>
        <v>440</v>
      </c>
      <c r="AO45" s="43">
        <f t="shared" si="147"/>
        <v>288.37</v>
      </c>
      <c r="AP45" s="43">
        <f t="shared" si="148"/>
        <v>0</v>
      </c>
      <c r="AQ45" s="43">
        <f t="shared" si="149"/>
        <v>0</v>
      </c>
      <c r="AR45" s="43">
        <f t="shared" si="150"/>
        <v>0</v>
      </c>
      <c r="AS45" s="43">
        <f t="shared" si="151"/>
        <v>0</v>
      </c>
      <c r="AT45" s="43">
        <f t="shared" si="152"/>
        <v>0</v>
      </c>
      <c r="AU45" s="43">
        <f t="shared" si="153"/>
        <v>0</v>
      </c>
      <c r="AV45" s="44" t="str">
        <f t="shared" si="154"/>
        <v>Compression</v>
      </c>
      <c r="AW45" s="43">
        <f t="shared" si="155"/>
        <v>1500</v>
      </c>
      <c r="AX45" s="43">
        <f t="shared" si="156"/>
        <v>375</v>
      </c>
      <c r="AY45" s="43">
        <f t="shared" si="157"/>
        <v>0.01</v>
      </c>
      <c r="AZ45" s="47">
        <f t="shared" si="158"/>
        <v>10</v>
      </c>
      <c r="BA45" s="48" t="s">
        <v>65</v>
      </c>
      <c r="BB45" s="49">
        <v>14</v>
      </c>
      <c r="BC45" s="94">
        <v>4.6399999999999997</v>
      </c>
      <c r="BD45" s="43">
        <f t="shared" si="159"/>
        <v>105.83005244258362</v>
      </c>
      <c r="BE45" s="43">
        <f t="shared" si="217"/>
        <v>-98.216719109250292</v>
      </c>
      <c r="BF45" s="43">
        <f t="shared" si="160"/>
        <v>110</v>
      </c>
      <c r="BG45" s="43">
        <f t="shared" si="161"/>
        <v>500</v>
      </c>
      <c r="BH45" s="44" t="str">
        <f t="shared" si="218"/>
        <v>No Need Shear Reinf.</v>
      </c>
      <c r="BI45" s="50" t="str">
        <f t="shared" si="162"/>
        <v>Use Φ10@110mm</v>
      </c>
      <c r="BJ45" s="43">
        <f t="shared" si="163"/>
        <v>300</v>
      </c>
      <c r="BK45" s="43">
        <f t="shared" si="164"/>
        <v>500</v>
      </c>
      <c r="BL45" s="43">
        <f t="shared" si="165"/>
        <v>220</v>
      </c>
      <c r="BM45" s="43">
        <f t="shared" si="172"/>
        <v>120</v>
      </c>
      <c r="BN45" s="43">
        <f t="shared" si="173"/>
        <v>460.90909090909082</v>
      </c>
      <c r="BO45" s="43">
        <f t="shared" si="174"/>
        <v>345.00000000000006</v>
      </c>
      <c r="BP45" s="43">
        <f t="shared" si="175"/>
        <v>1561.6369999999999</v>
      </c>
      <c r="BQ45" s="43">
        <f t="shared" si="176"/>
        <v>1389.962</v>
      </c>
      <c r="BR45" s="43">
        <f t="shared" si="166"/>
        <v>279.61703</v>
      </c>
      <c r="BS45" s="43">
        <f t="shared" si="177"/>
        <v>167.93657999999999</v>
      </c>
      <c r="BT45" s="43">
        <f t="shared" si="178"/>
        <v>0.17905379419160791</v>
      </c>
      <c r="BU45" s="43">
        <f t="shared" si="179"/>
        <v>0.12082098647301148</v>
      </c>
      <c r="BV45" s="43">
        <f t="shared" si="167"/>
        <v>0</v>
      </c>
      <c r="BW45" s="43">
        <f t="shared" si="168"/>
        <v>0</v>
      </c>
      <c r="BX45" s="44" t="str">
        <f t="shared" si="180"/>
        <v>Compression Controls</v>
      </c>
      <c r="BY45" s="44" t="str">
        <f t="shared" si="181"/>
        <v>Compression Controls</v>
      </c>
      <c r="BZ45" s="43">
        <f t="shared" si="182"/>
        <v>3851.9174587945918</v>
      </c>
      <c r="CA45" s="43">
        <f t="shared" si="183"/>
        <v>3843.8387769030451</v>
      </c>
      <c r="CB45" s="43">
        <f t="shared" si="184"/>
        <v>4180.1480000000001</v>
      </c>
      <c r="CC45" s="43">
        <f t="shared" si="169"/>
        <v>2173.6769600000002</v>
      </c>
      <c r="CD45" s="51" t="str">
        <f t="shared" si="170"/>
        <v xml:space="preserve">Safe </v>
      </c>
      <c r="CE45" s="1"/>
      <c r="CF45" s="1"/>
      <c r="CG45" s="43">
        <f t="shared" si="171"/>
        <v>385</v>
      </c>
      <c r="CH45" s="43">
        <f t="shared" si="185"/>
        <v>440</v>
      </c>
      <c r="CI45" s="43">
        <f t="shared" si="186"/>
        <v>190</v>
      </c>
      <c r="CJ45" s="52">
        <f t="shared" si="187"/>
        <v>18.789473684210527</v>
      </c>
      <c r="CK45" s="52">
        <f t="shared" si="188"/>
        <v>-9394.7368421052633</v>
      </c>
      <c r="CL45" s="52">
        <f t="shared" si="189"/>
        <v>78463</v>
      </c>
      <c r="CM45" s="52">
        <f t="shared" si="190"/>
        <v>-86394000</v>
      </c>
      <c r="CN45" s="52">
        <f t="shared" si="191"/>
        <v>509.51561666641385</v>
      </c>
      <c r="CO45" s="53">
        <f t="shared" si="192"/>
        <v>3851.9174587945918</v>
      </c>
      <c r="CP45" s="1"/>
      <c r="CQ45" s="43">
        <f t="shared" si="193"/>
        <v>240</v>
      </c>
      <c r="CR45" s="43">
        <f t="shared" si="194"/>
        <v>90</v>
      </c>
      <c r="CS45" s="52">
        <f t="shared" si="195"/>
        <v>66.111111111111114</v>
      </c>
      <c r="CT45" s="52">
        <f t="shared" si="196"/>
        <v>-19833.333333333332</v>
      </c>
      <c r="CU45" s="52">
        <f t="shared" si="197"/>
        <v>78463</v>
      </c>
      <c r="CV45" s="52">
        <f t="shared" si="198"/>
        <v>-47124000</v>
      </c>
      <c r="CW45" s="52">
        <f t="shared" si="199"/>
        <v>303.81587231598206</v>
      </c>
      <c r="CX45" s="53">
        <f t="shared" si="200"/>
        <v>3843.8387769030451</v>
      </c>
      <c r="CY45" s="1"/>
      <c r="CZ45" s="52">
        <f t="shared" si="201"/>
        <v>3570</v>
      </c>
      <c r="DA45" s="52">
        <f t="shared" si="202"/>
        <v>-1785000</v>
      </c>
      <c r="DB45" s="54">
        <f t="shared" si="203"/>
        <v>-59705030</v>
      </c>
      <c r="DC45" s="54">
        <f t="shared" si="204"/>
        <v>531.46775666000474</v>
      </c>
      <c r="DD45" s="52">
        <f t="shared" si="205"/>
        <v>542.42360027199982</v>
      </c>
      <c r="DE45" s="52">
        <f t="shared" si="206"/>
        <v>-59705030</v>
      </c>
      <c r="DF45" s="52">
        <f t="shared" si="207"/>
        <v>531.46775666000474</v>
      </c>
      <c r="DG45" s="53">
        <f t="shared" si="208"/>
        <v>3785.5167825524341</v>
      </c>
      <c r="DH45" s="1"/>
      <c r="DI45" s="52">
        <f t="shared" si="209"/>
        <v>5950</v>
      </c>
      <c r="DJ45" s="52">
        <f t="shared" si="210"/>
        <v>-1785000</v>
      </c>
      <c r="DK45" s="52">
        <f t="shared" si="211"/>
        <v>-28281330</v>
      </c>
      <c r="DL45" s="52">
        <f t="shared" si="212"/>
        <v>315.08532553162428</v>
      </c>
      <c r="DM45" s="52">
        <f t="shared" si="213"/>
        <v>298.13886794329159</v>
      </c>
      <c r="DN45" s="52">
        <f t="shared" si="214"/>
        <v>-24058841.774235055</v>
      </c>
      <c r="DO45" s="52">
        <f t="shared" si="215"/>
        <v>312.92176901568183</v>
      </c>
      <c r="DP45" s="53">
        <f t="shared" si="216"/>
        <v>3667.6895154447811</v>
      </c>
      <c r="DT45" s="41" t="str">
        <f t="shared" si="84"/>
        <v>C153</v>
      </c>
      <c r="DU45" s="55">
        <f t="shared" si="85"/>
        <v>10</v>
      </c>
      <c r="DV45" s="56" t="str">
        <f t="shared" si="86"/>
        <v>φ</v>
      </c>
      <c r="DW45" s="57">
        <f t="shared" si="87"/>
        <v>14</v>
      </c>
    </row>
    <row r="46" spans="1:256" ht="16.5" customHeight="1" thickTop="1" thickBot="1" x14ac:dyDescent="0.3">
      <c r="A46" s="42" t="s">
        <v>145</v>
      </c>
      <c r="B46" s="175" t="s">
        <v>193</v>
      </c>
      <c r="C46" s="93"/>
      <c r="D46" s="43">
        <v>300</v>
      </c>
      <c r="E46" s="43">
        <v>500</v>
      </c>
      <c r="F46" s="42">
        <v>2900</v>
      </c>
      <c r="G46" s="94">
        <v>179.64</v>
      </c>
      <c r="H46" s="94">
        <v>-18.579999999999998</v>
      </c>
      <c r="I46" s="94">
        <v>17.21</v>
      </c>
      <c r="J46" s="94">
        <v>2.35</v>
      </c>
      <c r="K46" s="94">
        <v>-4.5</v>
      </c>
      <c r="L46" s="43">
        <f t="shared" si="138"/>
        <v>17.399999999999999</v>
      </c>
      <c r="M46" s="43">
        <f t="shared" si="139"/>
        <v>45.115177610333696</v>
      </c>
      <c r="N46" s="44" t="str">
        <f t="shared" si="140"/>
        <v>sho.col</v>
      </c>
      <c r="P46" s="46">
        <f t="shared" si="141"/>
        <v>18.579999999999998</v>
      </c>
      <c r="Q46" s="46">
        <f t="shared" si="142"/>
        <v>17.21</v>
      </c>
      <c r="R46" s="46">
        <f t="shared" si="143"/>
        <v>2.35</v>
      </c>
      <c r="S46" s="46">
        <f t="shared" si="144"/>
        <v>4.5</v>
      </c>
      <c r="U46" s="302"/>
      <c r="V46" s="301"/>
      <c r="W46" s="15" t="s">
        <v>99</v>
      </c>
      <c r="X46" s="43">
        <v>0</v>
      </c>
      <c r="Y46" s="43">
        <f>(Y43*Y44^3/12)/Y45</f>
        <v>4102564.1025641025</v>
      </c>
      <c r="Z46" s="295"/>
      <c r="AA46" s="295"/>
      <c r="AB46" s="295"/>
      <c r="AC46" s="295"/>
      <c r="AD46" s="294"/>
      <c r="AE46" s="294"/>
      <c r="AJ46" s="306" t="str">
        <f t="shared" si="145"/>
        <v>C157</v>
      </c>
      <c r="AK46" s="307"/>
      <c r="AL46" s="43">
        <v>300</v>
      </c>
      <c r="AM46" s="43">
        <v>500</v>
      </c>
      <c r="AN46" s="43">
        <f t="shared" si="146"/>
        <v>440</v>
      </c>
      <c r="AO46" s="43">
        <f t="shared" si="147"/>
        <v>179.64</v>
      </c>
      <c r="AP46" s="43">
        <f t="shared" si="148"/>
        <v>18.579999999999998</v>
      </c>
      <c r="AQ46" s="43">
        <f t="shared" si="149"/>
        <v>2.35</v>
      </c>
      <c r="AR46" s="43">
        <f t="shared" si="150"/>
        <v>20.688974358974356</v>
      </c>
      <c r="AS46" s="43">
        <f t="shared" si="151"/>
        <v>8.3527692307692298</v>
      </c>
      <c r="AT46" s="43">
        <f t="shared" si="152"/>
        <v>20.688974358974356</v>
      </c>
      <c r="AU46" s="43">
        <f t="shared" si="153"/>
        <v>0.11516908460796235</v>
      </c>
      <c r="AV46" s="44" t="str">
        <f t="shared" si="154"/>
        <v>Compression</v>
      </c>
      <c r="AW46" s="43">
        <f t="shared" si="155"/>
        <v>1500</v>
      </c>
      <c r="AX46" s="43">
        <f t="shared" si="156"/>
        <v>375</v>
      </c>
      <c r="AY46" s="43">
        <f t="shared" si="157"/>
        <v>0.01</v>
      </c>
      <c r="AZ46" s="47">
        <f t="shared" si="158"/>
        <v>10</v>
      </c>
      <c r="BA46" s="48" t="s">
        <v>65</v>
      </c>
      <c r="BB46" s="49">
        <v>14</v>
      </c>
      <c r="BC46" s="94">
        <v>10.85</v>
      </c>
      <c r="BD46" s="43">
        <f t="shared" si="159"/>
        <v>105.83005244258362</v>
      </c>
      <c r="BE46" s="43">
        <f t="shared" si="217"/>
        <v>-99.870052442583628</v>
      </c>
      <c r="BF46" s="43">
        <f t="shared" si="160"/>
        <v>110</v>
      </c>
      <c r="BG46" s="43">
        <f t="shared" si="161"/>
        <v>500</v>
      </c>
      <c r="BH46" s="44" t="str">
        <f t="shared" si="218"/>
        <v>No Need Shear Reinf.</v>
      </c>
      <c r="BI46" s="50" t="str">
        <f t="shared" si="162"/>
        <v>Use Φ10@110mm</v>
      </c>
      <c r="BJ46" s="43">
        <f t="shared" si="163"/>
        <v>300</v>
      </c>
      <c r="BK46" s="43">
        <f t="shared" si="164"/>
        <v>500</v>
      </c>
      <c r="BL46" s="43">
        <f t="shared" si="165"/>
        <v>220</v>
      </c>
      <c r="BM46" s="43">
        <f t="shared" si="172"/>
        <v>120</v>
      </c>
      <c r="BN46" s="43">
        <f t="shared" si="173"/>
        <v>460.90909090909082</v>
      </c>
      <c r="BO46" s="43">
        <f t="shared" si="174"/>
        <v>345.00000000000006</v>
      </c>
      <c r="BP46" s="43">
        <f t="shared" si="175"/>
        <v>1561.6369999999999</v>
      </c>
      <c r="BQ46" s="43">
        <f t="shared" si="176"/>
        <v>1389.962</v>
      </c>
      <c r="BR46" s="43">
        <f t="shared" si="166"/>
        <v>279.61703</v>
      </c>
      <c r="BS46" s="43">
        <f t="shared" si="177"/>
        <v>167.93657999999999</v>
      </c>
      <c r="BT46" s="43">
        <f t="shared" si="178"/>
        <v>0.17905379419160791</v>
      </c>
      <c r="BU46" s="43">
        <f t="shared" si="179"/>
        <v>0.12082098647301148</v>
      </c>
      <c r="BV46" s="43">
        <f t="shared" si="167"/>
        <v>0.1034290803829882</v>
      </c>
      <c r="BW46" s="43">
        <f t="shared" si="168"/>
        <v>1.3081718993542643E-2</v>
      </c>
      <c r="BX46" s="44" t="str">
        <f t="shared" si="180"/>
        <v>Compression Controls</v>
      </c>
      <c r="BY46" s="44" t="str">
        <f t="shared" si="181"/>
        <v>Compression Controls</v>
      </c>
      <c r="BZ46" s="43">
        <f t="shared" si="182"/>
        <v>2365.6098586440603</v>
      </c>
      <c r="CA46" s="43">
        <f t="shared" si="183"/>
        <v>3511.4761647835949</v>
      </c>
      <c r="CB46" s="43">
        <f t="shared" si="184"/>
        <v>4180.1480000000001</v>
      </c>
      <c r="CC46" s="43">
        <f t="shared" si="169"/>
        <v>1388.062837411037</v>
      </c>
      <c r="CD46" s="51" t="str">
        <f t="shared" si="170"/>
        <v xml:space="preserve">Safe </v>
      </c>
      <c r="CE46" s="1"/>
      <c r="CF46" s="1"/>
      <c r="CG46" s="43">
        <f t="shared" si="171"/>
        <v>385</v>
      </c>
      <c r="CH46" s="43">
        <f t="shared" si="185"/>
        <v>440</v>
      </c>
      <c r="CI46" s="43">
        <f t="shared" si="186"/>
        <v>293.42908038298822</v>
      </c>
      <c r="CJ46" s="52">
        <f t="shared" si="187"/>
        <v>12.166483278822877</v>
      </c>
      <c r="CK46" s="52">
        <f t="shared" si="188"/>
        <v>-3566.5052853641309</v>
      </c>
      <c r="CL46" s="52">
        <f t="shared" si="189"/>
        <v>185996.72919812717</v>
      </c>
      <c r="CM46" s="52">
        <f t="shared" si="190"/>
        <v>-86394000</v>
      </c>
      <c r="CN46" s="52">
        <f t="shared" si="191"/>
        <v>315.90401447778834</v>
      </c>
      <c r="CO46" s="53">
        <f t="shared" si="192"/>
        <v>2365.6098586440603</v>
      </c>
      <c r="CP46" s="1"/>
      <c r="CQ46" s="43">
        <f t="shared" si="193"/>
        <v>240</v>
      </c>
      <c r="CR46" s="43">
        <f t="shared" si="194"/>
        <v>103.08171899354264</v>
      </c>
      <c r="CS46" s="52">
        <f t="shared" si="195"/>
        <v>57.721194971270577</v>
      </c>
      <c r="CT46" s="52">
        <f t="shared" si="196"/>
        <v>-15806.173586209879</v>
      </c>
      <c r="CU46" s="52">
        <f t="shared" si="197"/>
        <v>117178.81090422085</v>
      </c>
      <c r="CV46" s="52">
        <f t="shared" si="198"/>
        <v>-47124000</v>
      </c>
      <c r="CW46" s="52">
        <f t="shared" si="199"/>
        <v>277.1407966800117</v>
      </c>
      <c r="CX46" s="53">
        <f t="shared" si="200"/>
        <v>3511.4761647835949</v>
      </c>
      <c r="CY46" s="1"/>
      <c r="CZ46" s="52">
        <f t="shared" si="201"/>
        <v>3570</v>
      </c>
      <c r="DA46" s="52">
        <f t="shared" si="202"/>
        <v>-1046516.3660654641</v>
      </c>
      <c r="DB46" s="54">
        <f t="shared" si="203"/>
        <v>-60652750.663549326</v>
      </c>
      <c r="DC46" s="54">
        <f t="shared" si="204"/>
        <v>342.71525547602971</v>
      </c>
      <c r="DD46" s="52">
        <f t="shared" si="205"/>
        <v>510.7130496496377</v>
      </c>
      <c r="DE46" s="52">
        <f t="shared" si="206"/>
        <v>-60652750.663549326</v>
      </c>
      <c r="DF46" s="52">
        <f t="shared" si="207"/>
        <v>342.71525547602971</v>
      </c>
      <c r="DG46" s="53">
        <f t="shared" si="208"/>
        <v>2437.8239240988519</v>
      </c>
      <c r="DH46" s="1"/>
      <c r="DI46" s="52">
        <f t="shared" si="209"/>
        <v>5950</v>
      </c>
      <c r="DJ46" s="52">
        <f t="shared" si="210"/>
        <v>-1629327.5439768427</v>
      </c>
      <c r="DK46" s="52">
        <f t="shared" si="211"/>
        <v>-28401197.791137829</v>
      </c>
      <c r="DL46" s="52">
        <f t="shared" si="212"/>
        <v>290.28035658870692</v>
      </c>
      <c r="DM46" s="52">
        <f t="shared" si="213"/>
        <v>418.91398663829148</v>
      </c>
      <c r="DN46" s="52">
        <f t="shared" si="214"/>
        <v>-28369037.092978753</v>
      </c>
      <c r="DO46" s="52">
        <f t="shared" si="215"/>
        <v>290.26273335978237</v>
      </c>
      <c r="DP46" s="53">
        <f t="shared" si="216"/>
        <v>3444.5454118371522</v>
      </c>
      <c r="DT46" s="41" t="str">
        <f t="shared" si="84"/>
        <v>C157</v>
      </c>
      <c r="DU46" s="55">
        <f t="shared" si="85"/>
        <v>10</v>
      </c>
      <c r="DV46" s="56" t="str">
        <f t="shared" si="86"/>
        <v>φ</v>
      </c>
      <c r="DW46" s="57">
        <f t="shared" si="87"/>
        <v>14</v>
      </c>
    </row>
    <row r="47" spans="1:256" ht="16.5" customHeight="1" thickTop="1" thickBot="1" x14ac:dyDescent="0.3">
      <c r="A47" s="42" t="s">
        <v>145</v>
      </c>
      <c r="B47" s="175" t="s">
        <v>194</v>
      </c>
      <c r="C47" s="93"/>
      <c r="D47" s="43">
        <v>200</v>
      </c>
      <c r="E47" s="43">
        <v>500</v>
      </c>
      <c r="F47" s="42">
        <v>2900</v>
      </c>
      <c r="G47" s="94">
        <v>237.78</v>
      </c>
      <c r="H47" s="94">
        <v>65.12</v>
      </c>
      <c r="I47" s="94">
        <v>-57.66</v>
      </c>
      <c r="J47" s="94">
        <v>2.94</v>
      </c>
      <c r="K47" s="94">
        <v>-3.04</v>
      </c>
      <c r="L47" s="43">
        <f t="shared" si="138"/>
        <v>17.399999999999999</v>
      </c>
      <c r="M47" s="43">
        <f t="shared" si="139"/>
        <v>44.625307125307124</v>
      </c>
      <c r="N47" s="44" t="str">
        <f t="shared" si="140"/>
        <v>sho.col</v>
      </c>
      <c r="P47" s="46">
        <f t="shared" si="141"/>
        <v>65.12</v>
      </c>
      <c r="Q47" s="46">
        <f t="shared" si="142"/>
        <v>57.66</v>
      </c>
      <c r="R47" s="46">
        <f t="shared" si="143"/>
        <v>2.94</v>
      </c>
      <c r="S47" s="46">
        <f t="shared" si="144"/>
        <v>3.04</v>
      </c>
      <c r="U47" s="288" t="s">
        <v>13</v>
      </c>
      <c r="V47" s="300" t="s">
        <v>100</v>
      </c>
      <c r="W47" s="15" t="s">
        <v>86</v>
      </c>
      <c r="X47" s="43">
        <v>500</v>
      </c>
      <c r="Y47" s="43">
        <v>500</v>
      </c>
      <c r="Z47" s="292">
        <v>1200</v>
      </c>
      <c r="AA47" s="292">
        <v>1200</v>
      </c>
      <c r="AB47" s="292">
        <v>4350</v>
      </c>
      <c r="AC47" s="292">
        <f>(Z47*AA47^3/12)/AB47</f>
        <v>39724137.931034483</v>
      </c>
      <c r="AD47" s="292">
        <f>(0.7*(AC47+AC49))/(0.35*(X50+Y50))</f>
        <v>13.290510549916576</v>
      </c>
      <c r="AE47" s="292">
        <f>MIN(MIN(1,(0.7+0.05*(AD47+AD51))),MIN(1,(0.85+0.05*MIN(AD47,AD51))))</f>
        <v>0.9</v>
      </c>
      <c r="AJ47" s="306" t="str">
        <f t="shared" si="145"/>
        <v>C158</v>
      </c>
      <c r="AK47" s="307"/>
      <c r="AL47" s="43">
        <v>200</v>
      </c>
      <c r="AM47" s="43">
        <v>500</v>
      </c>
      <c r="AN47" s="43">
        <f t="shared" si="146"/>
        <v>440</v>
      </c>
      <c r="AO47" s="43">
        <f t="shared" si="147"/>
        <v>237.78</v>
      </c>
      <c r="AP47" s="43">
        <f t="shared" si="148"/>
        <v>65.12</v>
      </c>
      <c r="AQ47" s="43">
        <f t="shared" si="149"/>
        <v>2.94</v>
      </c>
      <c r="AR47" s="43">
        <f t="shared" si="150"/>
        <v>69.077692307692317</v>
      </c>
      <c r="AS47" s="43">
        <f t="shared" si="151"/>
        <v>16.965846153846151</v>
      </c>
      <c r="AT47" s="43">
        <f t="shared" si="152"/>
        <v>69.077692307692317</v>
      </c>
      <c r="AU47" s="43">
        <f t="shared" si="153"/>
        <v>0.29051094418240525</v>
      </c>
      <c r="AV47" s="44" t="str">
        <f t="shared" si="154"/>
        <v>Compression</v>
      </c>
      <c r="AW47" s="43">
        <f t="shared" si="155"/>
        <v>1000</v>
      </c>
      <c r="AX47" s="43">
        <f t="shared" si="156"/>
        <v>250</v>
      </c>
      <c r="AY47" s="43">
        <f t="shared" si="157"/>
        <v>0.01</v>
      </c>
      <c r="AZ47" s="47">
        <f t="shared" si="158"/>
        <v>8</v>
      </c>
      <c r="BA47" s="48" t="s">
        <v>65</v>
      </c>
      <c r="BB47" s="49">
        <v>14</v>
      </c>
      <c r="BC47" s="94">
        <v>37.21</v>
      </c>
      <c r="BD47" s="43">
        <f t="shared" si="159"/>
        <v>61.734197258173779</v>
      </c>
      <c r="BE47" s="43">
        <f t="shared" si="217"/>
        <v>-55.587530591507118</v>
      </c>
      <c r="BF47" s="43">
        <f t="shared" si="160"/>
        <v>100</v>
      </c>
      <c r="BG47" s="43">
        <f t="shared" si="161"/>
        <v>500</v>
      </c>
      <c r="BH47" s="44" t="str">
        <f t="shared" si="218"/>
        <v>No Need Shear Reinf.</v>
      </c>
      <c r="BI47" s="50" t="str">
        <f t="shared" si="162"/>
        <v>Use Φ10@100mm</v>
      </c>
      <c r="BJ47" s="43">
        <f t="shared" si="163"/>
        <v>200</v>
      </c>
      <c r="BK47" s="43">
        <f t="shared" si="164"/>
        <v>500</v>
      </c>
      <c r="BL47" s="43">
        <f t="shared" si="165"/>
        <v>220</v>
      </c>
      <c r="BM47" s="43">
        <f t="shared" si="172"/>
        <v>70</v>
      </c>
      <c r="BN47" s="43">
        <f t="shared" si="173"/>
        <v>460.90909090909082</v>
      </c>
      <c r="BO47" s="43">
        <f t="shared" si="174"/>
        <v>162.85714285714292</v>
      </c>
      <c r="BP47" s="43">
        <f t="shared" si="175"/>
        <v>1039.8696</v>
      </c>
      <c r="BQ47" s="43">
        <f t="shared" si="176"/>
        <v>746.46960000000001</v>
      </c>
      <c r="BR47" s="43">
        <f t="shared" si="166"/>
        <v>194.37202400000001</v>
      </c>
      <c r="BS47" s="43">
        <f t="shared" si="177"/>
        <v>34.023783999999999</v>
      </c>
      <c r="BT47" s="43">
        <f t="shared" si="178"/>
        <v>0.18691961376695695</v>
      </c>
      <c r="BU47" s="43">
        <f t="shared" si="179"/>
        <v>4.5579597615227729E-2</v>
      </c>
      <c r="BV47" s="43">
        <f t="shared" si="167"/>
        <v>0.2738665993775759</v>
      </c>
      <c r="BW47" s="43">
        <f t="shared" si="168"/>
        <v>1.2364370426444612E-2</v>
      </c>
      <c r="BX47" s="44" t="str">
        <f t="shared" si="180"/>
        <v>Tension Controls</v>
      </c>
      <c r="BY47" s="44" t="str">
        <f t="shared" si="181"/>
        <v>Compression Controls</v>
      </c>
      <c r="BZ47" s="43">
        <f t="shared" si="182"/>
        <v>567.47822042140729</v>
      </c>
      <c r="CA47" s="43">
        <f t="shared" si="183"/>
        <v>2270.1848972627336</v>
      </c>
      <c r="CB47" s="43">
        <f t="shared" si="184"/>
        <v>2868.1183999999998</v>
      </c>
      <c r="CC47" s="43">
        <f t="shared" si="169"/>
        <v>350.59061128204479</v>
      </c>
      <c r="CD47" s="51" t="str">
        <f t="shared" si="170"/>
        <v xml:space="preserve">Safe </v>
      </c>
      <c r="CE47" s="1"/>
      <c r="CF47" s="1"/>
      <c r="CG47" s="43">
        <f t="shared" si="171"/>
        <v>308</v>
      </c>
      <c r="CH47" s="43">
        <f t="shared" si="185"/>
        <v>440</v>
      </c>
      <c r="CI47" s="43">
        <f t="shared" si="186"/>
        <v>463.86659937757588</v>
      </c>
      <c r="CJ47" s="52">
        <f t="shared" si="187"/>
        <v>5.1307854525277845</v>
      </c>
      <c r="CK47" s="52">
        <f t="shared" si="188"/>
        <v>244.90880177555022</v>
      </c>
      <c r="CL47" s="52">
        <f t="shared" si="189"/>
        <v>206862.82493531171</v>
      </c>
      <c r="CM47" s="52">
        <f t="shared" si="190"/>
        <v>-69115200</v>
      </c>
      <c r="CN47" s="52">
        <f t="shared" si="191"/>
        <v>172.24314962188674</v>
      </c>
      <c r="CO47" s="53">
        <f t="shared" si="192"/>
        <v>725.44168700967691</v>
      </c>
      <c r="CP47" s="1"/>
      <c r="CQ47" s="43">
        <f t="shared" si="193"/>
        <v>140</v>
      </c>
      <c r="CR47" s="43">
        <f t="shared" si="194"/>
        <v>52.364370426444609</v>
      </c>
      <c r="CS47" s="52">
        <f t="shared" si="195"/>
        <v>113.6268793369314</v>
      </c>
      <c r="CT47" s="52">
        <f t="shared" si="196"/>
        <v>-19915.526214340785</v>
      </c>
      <c r="CU47" s="52">
        <f t="shared" si="197"/>
        <v>120398.10239013107</v>
      </c>
      <c r="CV47" s="52">
        <f t="shared" si="198"/>
        <v>-21991200</v>
      </c>
      <c r="CW47" s="52">
        <f t="shared" si="199"/>
        <v>175.51674975480182</v>
      </c>
      <c r="CX47" s="53">
        <f t="shared" si="200"/>
        <v>2270.1848972627336</v>
      </c>
      <c r="CY47" s="1"/>
      <c r="CZ47" s="52">
        <f t="shared" si="201"/>
        <v>2380</v>
      </c>
      <c r="DA47" s="52">
        <f t="shared" si="202"/>
        <v>113605.01303726119</v>
      </c>
      <c r="DB47" s="54">
        <f t="shared" si="203"/>
        <v>-49771575.720077381</v>
      </c>
      <c r="DC47" s="54">
        <f t="shared" si="204"/>
        <v>122.70093228954151</v>
      </c>
      <c r="DD47" s="52">
        <f t="shared" si="205"/>
        <v>350.61314181548232</v>
      </c>
      <c r="DE47" s="52">
        <f t="shared" si="206"/>
        <v>-51563901.590005703</v>
      </c>
      <c r="DF47" s="52">
        <f t="shared" si="207"/>
        <v>125.2478514164367</v>
      </c>
      <c r="DG47" s="53">
        <f t="shared" si="208"/>
        <v>567.47822042140729</v>
      </c>
      <c r="DH47" s="1"/>
      <c r="DI47" s="52">
        <f t="shared" si="209"/>
        <v>5950</v>
      </c>
      <c r="DJ47" s="52">
        <f t="shared" si="210"/>
        <v>-1042863.9919253092</v>
      </c>
      <c r="DK47" s="52">
        <f t="shared" si="211"/>
        <v>-10146219.780974008</v>
      </c>
      <c r="DL47" s="52">
        <f t="shared" si="212"/>
        <v>184.51313260065584</v>
      </c>
      <c r="DM47" s="52">
        <f t="shared" si="213"/>
        <v>652.87099344412684</v>
      </c>
      <c r="DN47" s="52">
        <f t="shared" si="214"/>
        <v>-10146219.780974008</v>
      </c>
      <c r="DO47" s="52">
        <f t="shared" si="215"/>
        <v>184.51313260065584</v>
      </c>
      <c r="DP47" s="53">
        <f t="shared" si="216"/>
        <v>2188.3758779478048</v>
      </c>
      <c r="DT47" s="41" t="str">
        <f t="shared" si="84"/>
        <v>C158</v>
      </c>
      <c r="DU47" s="55">
        <f t="shared" si="85"/>
        <v>8</v>
      </c>
      <c r="DV47" s="56" t="str">
        <f t="shared" si="86"/>
        <v>φ</v>
      </c>
      <c r="DW47" s="57">
        <f t="shared" si="87"/>
        <v>14</v>
      </c>
    </row>
    <row r="48" spans="1:256" s="169" customFormat="1" ht="16.5" customHeight="1" thickTop="1" thickBot="1" x14ac:dyDescent="0.3">
      <c r="A48" s="158" t="s">
        <v>145</v>
      </c>
      <c r="B48" s="181" t="s">
        <v>195</v>
      </c>
      <c r="C48" s="172"/>
      <c r="D48" s="160">
        <v>300</v>
      </c>
      <c r="E48" s="43">
        <v>600</v>
      </c>
      <c r="F48" s="158">
        <v>2900</v>
      </c>
      <c r="G48" s="159">
        <v>295.29000000000002</v>
      </c>
      <c r="H48" s="159">
        <v>131.87</v>
      </c>
      <c r="I48" s="159">
        <v>-122.04</v>
      </c>
      <c r="J48" s="159">
        <v>2.68</v>
      </c>
      <c r="K48" s="159">
        <v>-0.05</v>
      </c>
      <c r="L48" s="160">
        <f t="shared" si="138"/>
        <v>14.5</v>
      </c>
      <c r="M48" s="160">
        <f>IF(P48&gt;Q48,(34-12*I48/H48),(34-12*H48/I48))</f>
        <v>45.105482672328804</v>
      </c>
      <c r="N48" s="160" t="str">
        <f t="shared" si="140"/>
        <v>sho.col</v>
      </c>
      <c r="O48" s="161"/>
      <c r="P48" s="162">
        <f>ABS(H48)</f>
        <v>131.87</v>
      </c>
      <c r="Q48" s="162">
        <f>ABS(I48)</f>
        <v>122.04</v>
      </c>
      <c r="R48" s="162">
        <f>ABS(J48)</f>
        <v>2.68</v>
      </c>
      <c r="S48" s="162">
        <f>ABS(K48)</f>
        <v>0.05</v>
      </c>
      <c r="T48" s="161"/>
      <c r="U48" s="289"/>
      <c r="V48" s="298"/>
      <c r="W48" s="163" t="s">
        <v>97</v>
      </c>
      <c r="X48" s="160">
        <v>800</v>
      </c>
      <c r="Y48" s="160">
        <v>800</v>
      </c>
      <c r="Z48" s="295"/>
      <c r="AA48" s="295"/>
      <c r="AB48" s="295"/>
      <c r="AC48" s="295"/>
      <c r="AD48" s="293"/>
      <c r="AE48" s="293"/>
      <c r="AF48" s="161"/>
      <c r="AG48" s="161"/>
      <c r="AH48" s="161"/>
      <c r="AI48" s="161"/>
      <c r="AJ48" s="327" t="str">
        <f t="shared" si="145"/>
        <v>C159</v>
      </c>
      <c r="AK48" s="328"/>
      <c r="AL48" s="160">
        <v>300</v>
      </c>
      <c r="AM48" s="43">
        <v>600</v>
      </c>
      <c r="AN48" s="160">
        <f t="shared" si="146"/>
        <v>540</v>
      </c>
      <c r="AO48" s="160">
        <f t="shared" si="147"/>
        <v>295.29000000000002</v>
      </c>
      <c r="AP48" s="160">
        <f t="shared" si="148"/>
        <v>131.87</v>
      </c>
      <c r="AQ48" s="160">
        <f t="shared" si="149"/>
        <v>2.68</v>
      </c>
      <c r="AR48" s="160">
        <f t="shared" si="150"/>
        <v>134.75615384615386</v>
      </c>
      <c r="AS48" s="160">
        <f t="shared" si="151"/>
        <v>38.183461538461536</v>
      </c>
      <c r="AT48" s="160">
        <f t="shared" si="152"/>
        <v>134.75615384615386</v>
      </c>
      <c r="AU48" s="160">
        <f t="shared" si="153"/>
        <v>0.45635190438604034</v>
      </c>
      <c r="AV48" s="160" t="str">
        <f t="shared" si="154"/>
        <v>Compression</v>
      </c>
      <c r="AW48" s="160">
        <f t="shared" si="155"/>
        <v>1800</v>
      </c>
      <c r="AX48" s="160">
        <f t="shared" si="156"/>
        <v>450</v>
      </c>
      <c r="AY48" s="160">
        <f t="shared" si="157"/>
        <v>0.01</v>
      </c>
      <c r="AZ48" s="164">
        <f t="shared" si="158"/>
        <v>12</v>
      </c>
      <c r="BA48" s="165" t="s">
        <v>65</v>
      </c>
      <c r="BB48" s="166">
        <v>14</v>
      </c>
      <c r="BC48" s="159">
        <v>76.94</v>
      </c>
      <c r="BD48" s="160">
        <f t="shared" si="159"/>
        <v>126.99606293110035</v>
      </c>
      <c r="BE48" s="160">
        <f t="shared" si="217"/>
        <v>-126.99606293110035</v>
      </c>
      <c r="BF48" s="160">
        <f t="shared" si="160"/>
        <v>110</v>
      </c>
      <c r="BG48" s="160">
        <f t="shared" si="161"/>
        <v>600</v>
      </c>
      <c r="BH48" s="160" t="str">
        <f t="shared" si="218"/>
        <v>No Need Shear Reinf.</v>
      </c>
      <c r="BI48" s="167" t="str">
        <f t="shared" si="162"/>
        <v>Use Φ10@110mm</v>
      </c>
      <c r="BJ48" s="160">
        <f t="shared" si="163"/>
        <v>300</v>
      </c>
      <c r="BK48" s="160">
        <f t="shared" si="164"/>
        <v>600</v>
      </c>
      <c r="BL48" s="160">
        <f t="shared" si="165"/>
        <v>270</v>
      </c>
      <c r="BM48" s="160">
        <f t="shared" si="172"/>
        <v>120</v>
      </c>
      <c r="BN48" s="160">
        <f t="shared" si="173"/>
        <v>486.66666666666657</v>
      </c>
      <c r="BO48" s="160">
        <f t="shared" si="174"/>
        <v>345.00000000000006</v>
      </c>
      <c r="BP48" s="160">
        <f t="shared" si="175"/>
        <v>1916.8044</v>
      </c>
      <c r="BQ48" s="160">
        <f t="shared" si="176"/>
        <v>1667.9543999999999</v>
      </c>
      <c r="BR48" s="160">
        <f t="shared" si="166"/>
        <v>408.58725600000002</v>
      </c>
      <c r="BS48" s="160">
        <f t="shared" si="177"/>
        <v>201.52389600000001</v>
      </c>
      <c r="BT48" s="160">
        <f t="shared" si="178"/>
        <v>0.21316064174310118</v>
      </c>
      <c r="BU48" s="160">
        <f t="shared" si="179"/>
        <v>0.12082098647301151</v>
      </c>
      <c r="BV48" s="160">
        <f t="shared" si="167"/>
        <v>0.44657794032984521</v>
      </c>
      <c r="BW48" s="160">
        <f t="shared" si="168"/>
        <v>9.0758237664668624E-3</v>
      </c>
      <c r="BX48" s="160" t="str">
        <f t="shared" si="180"/>
        <v>Tension Controls</v>
      </c>
      <c r="BY48" s="160" t="str">
        <f t="shared" si="181"/>
        <v>Compression Controls</v>
      </c>
      <c r="BZ48" s="160">
        <f t="shared" si="182"/>
        <v>500.38757753009537</v>
      </c>
      <c r="CA48" s="160">
        <f t="shared" si="183"/>
        <v>4335.8066179860407</v>
      </c>
      <c r="CB48" s="160">
        <f t="shared" si="184"/>
        <v>5016.1776</v>
      </c>
      <c r="CC48" s="160">
        <f t="shared" si="169"/>
        <v>320.2390855377775</v>
      </c>
      <c r="CD48" s="168" t="str">
        <f t="shared" si="170"/>
        <v xml:space="preserve">Safe </v>
      </c>
      <c r="CE48" s="161"/>
      <c r="CF48" s="161"/>
      <c r="CG48" s="160">
        <f t="shared" si="171"/>
        <v>462</v>
      </c>
      <c r="CH48" s="160">
        <f t="shared" si="185"/>
        <v>540</v>
      </c>
      <c r="CI48" s="160">
        <f t="shared" si="186"/>
        <v>686.57794032984521</v>
      </c>
      <c r="CJ48" s="160">
        <f t="shared" si="187"/>
        <v>5.1997009957600788</v>
      </c>
      <c r="CK48" s="160">
        <f t="shared" si="188"/>
        <v>1524.3229245791149</v>
      </c>
      <c r="CL48" s="160">
        <f t="shared" si="189"/>
        <v>332274.49762039579</v>
      </c>
      <c r="CM48" s="160">
        <f t="shared" si="190"/>
        <v>-127234800</v>
      </c>
      <c r="CN48" s="160">
        <f t="shared" si="191"/>
        <v>170.8804882303578</v>
      </c>
      <c r="CO48" s="160">
        <f t="shared" si="192"/>
        <v>935.74753919679745</v>
      </c>
      <c r="CP48" s="161"/>
      <c r="CQ48" s="160">
        <f t="shared" si="193"/>
        <v>240</v>
      </c>
      <c r="CR48" s="160">
        <f t="shared" si="194"/>
        <v>99.075823766466868</v>
      </c>
      <c r="CS48" s="160">
        <f t="shared" si="195"/>
        <v>72.066017001582566</v>
      </c>
      <c r="CT48" s="160">
        <f t="shared" si="196"/>
        <v>-20311.688160759637</v>
      </c>
      <c r="CU48" s="160">
        <f t="shared" si="197"/>
        <v>127691.10145097948</v>
      </c>
      <c r="CV48" s="160">
        <f t="shared" si="198"/>
        <v>-56548800</v>
      </c>
      <c r="CW48" s="160">
        <f t="shared" si="199"/>
        <v>285.27905946042864</v>
      </c>
      <c r="CX48" s="160">
        <f t="shared" si="200"/>
        <v>4335.8066179860407</v>
      </c>
      <c r="CY48" s="161"/>
      <c r="CZ48" s="160">
        <f t="shared" si="201"/>
        <v>3570</v>
      </c>
      <c r="DA48" s="160">
        <f t="shared" si="202"/>
        <v>1046566.4939550947</v>
      </c>
      <c r="DB48" s="162">
        <f t="shared" si="203"/>
        <v>-95410648.400690854</v>
      </c>
      <c r="DC48" s="162">
        <f t="shared" si="204"/>
        <v>72.991557579726631</v>
      </c>
      <c r="DD48" s="160">
        <f t="shared" si="205"/>
        <v>180.77343442662561</v>
      </c>
      <c r="DE48" s="160">
        <f t="shared" si="206"/>
        <v>-118242194.60969946</v>
      </c>
      <c r="DF48" s="160">
        <f t="shared" si="207"/>
        <v>87.101659779410952</v>
      </c>
      <c r="DG48" s="160">
        <f t="shared" si="208"/>
        <v>500.38757753009537</v>
      </c>
      <c r="DH48" s="161"/>
      <c r="DI48" s="160">
        <f t="shared" si="209"/>
        <v>7140</v>
      </c>
      <c r="DJ48" s="160">
        <f t="shared" si="210"/>
        <v>-2012397.2366148531</v>
      </c>
      <c r="DK48" s="160">
        <f t="shared" si="211"/>
        <v>-34037390.127806559</v>
      </c>
      <c r="DL48" s="160">
        <f t="shared" si="212"/>
        <v>297.85334790528645</v>
      </c>
      <c r="DM48" s="160">
        <f t="shared" si="213"/>
        <v>2029.1662988749524</v>
      </c>
      <c r="DN48" s="160">
        <f t="shared" si="214"/>
        <v>-34037390.127806559</v>
      </c>
      <c r="DO48" s="160">
        <f t="shared" si="215"/>
        <v>297.85334790528645</v>
      </c>
      <c r="DP48" s="160">
        <f t="shared" si="216"/>
        <v>4242.3502080874905</v>
      </c>
      <c r="DQ48" s="161"/>
      <c r="DR48" s="161"/>
      <c r="DS48" s="161"/>
      <c r="DT48" s="41" t="str">
        <f t="shared" si="84"/>
        <v>C159</v>
      </c>
      <c r="DU48" s="55">
        <f t="shared" si="85"/>
        <v>12</v>
      </c>
      <c r="DV48" s="56" t="str">
        <f t="shared" si="86"/>
        <v>φ</v>
      </c>
      <c r="DW48" s="57">
        <f t="shared" si="87"/>
        <v>14</v>
      </c>
      <c r="DX48" s="161"/>
      <c r="DY48" s="161"/>
      <c r="DZ48" s="161"/>
      <c r="EA48" s="161"/>
      <c r="EB48" s="161"/>
      <c r="EC48" s="161"/>
      <c r="ED48" s="161"/>
      <c r="EE48" s="161"/>
      <c r="EF48" s="161"/>
      <c r="EG48" s="161"/>
      <c r="EH48" s="161"/>
      <c r="EI48" s="161"/>
      <c r="EJ48" s="161"/>
      <c r="EK48" s="161"/>
      <c r="EL48" s="161"/>
      <c r="EM48" s="161"/>
      <c r="EN48" s="161"/>
      <c r="EO48" s="161"/>
      <c r="EP48" s="161"/>
      <c r="EQ48" s="161"/>
      <c r="ER48" s="161"/>
      <c r="ES48" s="161"/>
      <c r="ET48" s="161"/>
      <c r="EU48" s="161"/>
      <c r="EV48" s="161"/>
      <c r="EW48" s="161"/>
      <c r="EX48" s="161"/>
      <c r="EY48" s="161"/>
      <c r="EZ48" s="161"/>
      <c r="FA48" s="161"/>
      <c r="FB48" s="161"/>
      <c r="FC48" s="161"/>
      <c r="FD48" s="161"/>
      <c r="FE48" s="161"/>
      <c r="FF48" s="161"/>
      <c r="FG48" s="161"/>
      <c r="FH48" s="161"/>
      <c r="FI48" s="161"/>
      <c r="FJ48" s="161"/>
      <c r="FK48" s="161"/>
      <c r="FL48" s="161"/>
      <c r="FM48" s="161"/>
      <c r="FN48" s="161"/>
      <c r="FO48" s="161"/>
      <c r="FP48" s="161"/>
      <c r="FQ48" s="161"/>
      <c r="FR48" s="161"/>
      <c r="FS48" s="161"/>
      <c r="FT48" s="161"/>
      <c r="FU48" s="161"/>
      <c r="FV48" s="161"/>
      <c r="FW48" s="161"/>
      <c r="FX48" s="161"/>
      <c r="FY48" s="161"/>
      <c r="FZ48" s="161"/>
      <c r="GA48" s="161"/>
      <c r="GB48" s="161"/>
      <c r="GC48" s="161"/>
      <c r="GD48" s="161"/>
      <c r="GE48" s="161"/>
      <c r="GF48" s="161"/>
      <c r="GG48" s="161"/>
      <c r="GH48" s="161"/>
      <c r="GI48" s="161"/>
      <c r="GJ48" s="161"/>
      <c r="GK48" s="161"/>
      <c r="GL48" s="161"/>
      <c r="GM48" s="161"/>
      <c r="GN48" s="161"/>
      <c r="GO48" s="161"/>
      <c r="GP48" s="161"/>
      <c r="GQ48" s="161"/>
      <c r="GR48" s="161"/>
      <c r="GS48" s="161"/>
      <c r="GT48" s="161"/>
      <c r="GU48" s="161"/>
      <c r="GV48" s="161"/>
      <c r="GW48" s="161"/>
      <c r="GX48" s="161"/>
      <c r="GY48" s="161"/>
      <c r="GZ48" s="161"/>
      <c r="HA48" s="161"/>
      <c r="HB48" s="161"/>
      <c r="HC48" s="161"/>
      <c r="HD48" s="161"/>
      <c r="HE48" s="161"/>
      <c r="HF48" s="161"/>
      <c r="HG48" s="161"/>
      <c r="HH48" s="161"/>
      <c r="HI48" s="161"/>
      <c r="HJ48" s="161"/>
      <c r="HK48" s="161"/>
      <c r="HL48" s="161"/>
      <c r="HM48" s="161"/>
      <c r="HN48" s="161"/>
      <c r="HO48" s="161"/>
      <c r="HP48" s="161"/>
      <c r="HQ48" s="161"/>
      <c r="HR48" s="161"/>
      <c r="HS48" s="161"/>
      <c r="HT48" s="161"/>
      <c r="HU48" s="161"/>
      <c r="HV48" s="161"/>
      <c r="HW48" s="161"/>
      <c r="HX48" s="161"/>
      <c r="HY48" s="161"/>
      <c r="HZ48" s="161"/>
      <c r="IA48" s="161"/>
      <c r="IB48" s="161"/>
      <c r="IC48" s="161"/>
      <c r="ID48" s="161"/>
      <c r="IE48" s="161"/>
      <c r="IF48" s="161"/>
      <c r="IG48" s="161"/>
      <c r="IH48" s="161"/>
      <c r="II48" s="161"/>
      <c r="IJ48" s="161"/>
      <c r="IK48" s="161"/>
      <c r="IL48" s="161"/>
      <c r="IM48" s="161"/>
      <c r="IN48" s="161"/>
      <c r="IO48" s="161"/>
      <c r="IP48" s="161"/>
      <c r="IQ48" s="161"/>
      <c r="IR48" s="161"/>
      <c r="IS48" s="161"/>
      <c r="IT48" s="161"/>
      <c r="IU48" s="161"/>
      <c r="IV48" s="161"/>
    </row>
    <row r="49" spans="1:256" ht="16.5" customHeight="1" thickTop="1" thickBot="1" x14ac:dyDescent="0.3">
      <c r="A49" s="42" t="s">
        <v>145</v>
      </c>
      <c r="B49" s="175" t="s">
        <v>196</v>
      </c>
      <c r="C49" s="93"/>
      <c r="D49" s="43">
        <v>200</v>
      </c>
      <c r="E49" s="43">
        <v>500</v>
      </c>
      <c r="F49" s="42">
        <v>2900</v>
      </c>
      <c r="G49" s="94">
        <v>184.08</v>
      </c>
      <c r="H49" s="94">
        <v>17.39</v>
      </c>
      <c r="I49" s="94">
        <v>6.57</v>
      </c>
      <c r="J49" s="94">
        <v>-8.41</v>
      </c>
      <c r="K49" s="94">
        <v>10.09</v>
      </c>
      <c r="L49" s="43">
        <f t="shared" si="138"/>
        <v>17.399999999999999</v>
      </c>
      <c r="M49" s="43">
        <f t="shared" si="139"/>
        <v>29.466359976998277</v>
      </c>
      <c r="N49" s="44" t="str">
        <f t="shared" si="140"/>
        <v>sho.col</v>
      </c>
      <c r="P49" s="46">
        <f t="shared" si="141"/>
        <v>17.39</v>
      </c>
      <c r="Q49" s="46">
        <f t="shared" si="142"/>
        <v>6.57</v>
      </c>
      <c r="R49" s="46">
        <f t="shared" si="143"/>
        <v>8.41</v>
      </c>
      <c r="S49" s="46">
        <f t="shared" si="144"/>
        <v>10.09</v>
      </c>
      <c r="U49" s="289"/>
      <c r="V49" s="298"/>
      <c r="W49" s="15" t="s">
        <v>98</v>
      </c>
      <c r="X49" s="43">
        <v>5200</v>
      </c>
      <c r="Y49" s="43">
        <v>10300</v>
      </c>
      <c r="Z49" s="292">
        <f>D12</f>
        <v>200</v>
      </c>
      <c r="AA49" s="292">
        <f>E12</f>
        <v>500</v>
      </c>
      <c r="AB49" s="292">
        <f>F12</f>
        <v>1600</v>
      </c>
      <c r="AC49" s="292">
        <f>(Z49*AA49^3/12)/AB49</f>
        <v>1302083.3333333333</v>
      </c>
      <c r="AD49" s="293"/>
      <c r="AE49" s="293"/>
      <c r="AJ49" s="306" t="str">
        <f t="shared" si="145"/>
        <v>C161</v>
      </c>
      <c r="AK49" s="307"/>
      <c r="AL49" s="43">
        <v>200</v>
      </c>
      <c r="AM49" s="43">
        <v>500</v>
      </c>
      <c r="AN49" s="43">
        <f t="shared" si="146"/>
        <v>440</v>
      </c>
      <c r="AO49" s="43">
        <f t="shared" si="147"/>
        <v>184.08</v>
      </c>
      <c r="AP49" s="43">
        <f t="shared" si="148"/>
        <v>17.39</v>
      </c>
      <c r="AQ49" s="43">
        <f t="shared" si="149"/>
        <v>8.41</v>
      </c>
      <c r="AR49" s="43">
        <f t="shared" si="150"/>
        <v>28.711153846153845</v>
      </c>
      <c r="AS49" s="43">
        <f t="shared" si="151"/>
        <v>12.155538461538463</v>
      </c>
      <c r="AT49" s="43">
        <f t="shared" si="152"/>
        <v>28.711153846153845</v>
      </c>
      <c r="AU49" s="43">
        <f t="shared" si="153"/>
        <v>0.15597106609166581</v>
      </c>
      <c r="AV49" s="44" t="str">
        <f t="shared" si="154"/>
        <v>Compression</v>
      </c>
      <c r="AW49" s="43">
        <f t="shared" si="155"/>
        <v>1000</v>
      </c>
      <c r="AX49" s="43">
        <f t="shared" si="156"/>
        <v>250</v>
      </c>
      <c r="AY49" s="43">
        <f t="shared" si="157"/>
        <v>0.01</v>
      </c>
      <c r="AZ49" s="47">
        <f t="shared" si="158"/>
        <v>8</v>
      </c>
      <c r="BA49" s="48" t="s">
        <v>65</v>
      </c>
      <c r="BB49" s="49">
        <v>14</v>
      </c>
      <c r="BC49" s="94">
        <v>15.83</v>
      </c>
      <c r="BD49" s="43">
        <f t="shared" si="159"/>
        <v>61.734197258173779</v>
      </c>
      <c r="BE49" s="43">
        <f t="shared" si="217"/>
        <v>-61.734197258173786</v>
      </c>
      <c r="BF49" s="43">
        <f t="shared" si="160"/>
        <v>100</v>
      </c>
      <c r="BG49" s="43">
        <f t="shared" si="161"/>
        <v>500</v>
      </c>
      <c r="BH49" s="44" t="str">
        <f t="shared" si="218"/>
        <v>No Need Shear Reinf.</v>
      </c>
      <c r="BI49" s="50" t="str">
        <f t="shared" si="162"/>
        <v>Use Φ10@100mm</v>
      </c>
      <c r="BJ49" s="43">
        <f t="shared" si="163"/>
        <v>200</v>
      </c>
      <c r="BK49" s="43">
        <f t="shared" si="164"/>
        <v>500</v>
      </c>
      <c r="BL49" s="43">
        <f t="shared" si="165"/>
        <v>220</v>
      </c>
      <c r="BM49" s="43">
        <f t="shared" si="172"/>
        <v>70</v>
      </c>
      <c r="BN49" s="43">
        <f t="shared" si="173"/>
        <v>460.90909090909082</v>
      </c>
      <c r="BO49" s="43">
        <f t="shared" si="174"/>
        <v>162.85714285714292</v>
      </c>
      <c r="BP49" s="43">
        <f t="shared" si="175"/>
        <v>1039.8696</v>
      </c>
      <c r="BQ49" s="43">
        <f t="shared" si="176"/>
        <v>746.46960000000001</v>
      </c>
      <c r="BR49" s="43">
        <f t="shared" si="166"/>
        <v>194.37202400000001</v>
      </c>
      <c r="BS49" s="43">
        <f t="shared" si="177"/>
        <v>34.023783999999999</v>
      </c>
      <c r="BT49" s="43">
        <f t="shared" si="178"/>
        <v>0.18691961376695695</v>
      </c>
      <c r="BU49" s="43">
        <f t="shared" si="179"/>
        <v>4.5579597615227729E-2</v>
      </c>
      <c r="BV49" s="43">
        <f t="shared" si="167"/>
        <v>9.4469795740982174E-2</v>
      </c>
      <c r="BW49" s="43">
        <f t="shared" si="168"/>
        <v>4.5686657974793564E-2</v>
      </c>
      <c r="BX49" s="44" t="str">
        <f t="shared" si="180"/>
        <v>Compression Controls</v>
      </c>
      <c r="BY49" s="44" t="str">
        <f t="shared" si="181"/>
        <v>Tension Controls</v>
      </c>
      <c r="BZ49" s="43">
        <f t="shared" si="182"/>
        <v>1688.2590141351423</v>
      </c>
      <c r="CA49" s="43">
        <f t="shared" si="183"/>
        <v>1369.0432083131848</v>
      </c>
      <c r="CB49" s="43">
        <f t="shared" si="184"/>
        <v>2868.1183999999998</v>
      </c>
      <c r="CC49" s="43">
        <f t="shared" si="169"/>
        <v>667.28079268457566</v>
      </c>
      <c r="CD49" s="51" t="str">
        <f t="shared" si="170"/>
        <v xml:space="preserve">Safe </v>
      </c>
      <c r="CE49" s="1"/>
      <c r="CF49" s="1"/>
      <c r="CG49" s="43">
        <f t="shared" si="171"/>
        <v>308</v>
      </c>
      <c r="CH49" s="43">
        <f t="shared" si="185"/>
        <v>440</v>
      </c>
      <c r="CI49" s="43">
        <f t="shared" si="186"/>
        <v>284.46979574098219</v>
      </c>
      <c r="CJ49" s="52">
        <f t="shared" si="187"/>
        <v>8.3664418354174135</v>
      </c>
      <c r="CK49" s="52">
        <f t="shared" si="188"/>
        <v>-2602.468815167324</v>
      </c>
      <c r="CL49" s="52">
        <f t="shared" si="189"/>
        <v>143820.20956818652</v>
      </c>
      <c r="CM49" s="52">
        <f t="shared" si="190"/>
        <v>-69115200</v>
      </c>
      <c r="CN49" s="52">
        <f t="shared" si="191"/>
        <v>333.72512433344019</v>
      </c>
      <c r="CO49" s="53">
        <f t="shared" si="192"/>
        <v>1688.2590141351423</v>
      </c>
      <c r="CP49" s="1"/>
      <c r="CQ49" s="43">
        <f t="shared" si="193"/>
        <v>140</v>
      </c>
      <c r="CR49" s="43">
        <f t="shared" si="194"/>
        <v>85.686657974793548</v>
      </c>
      <c r="CS49" s="52">
        <f t="shared" si="195"/>
        <v>69.439048512667071</v>
      </c>
      <c r="CT49" s="52">
        <f t="shared" si="196"/>
        <v>-7542.9335835467809</v>
      </c>
      <c r="CU49" s="52">
        <f t="shared" si="197"/>
        <v>192898.58400831788</v>
      </c>
      <c r="CV49" s="52">
        <f t="shared" si="198"/>
        <v>-21991200</v>
      </c>
      <c r="CW49" s="52">
        <f t="shared" si="199"/>
        <v>109.63612865241608</v>
      </c>
      <c r="CX49" s="53">
        <f t="shared" si="200"/>
        <v>1410.9160164753878</v>
      </c>
      <c r="CY49" s="1"/>
      <c r="CZ49" s="52">
        <f t="shared" si="201"/>
        <v>2380</v>
      </c>
      <c r="DA49" s="52">
        <f t="shared" si="202"/>
        <v>-740323.77227292478</v>
      </c>
      <c r="DB49" s="54">
        <f t="shared" si="203"/>
        <v>-48456525.390699692</v>
      </c>
      <c r="DC49" s="54">
        <f t="shared" si="204"/>
        <v>366.59779782750678</v>
      </c>
      <c r="DD49" s="52">
        <f t="shared" si="205"/>
        <v>516.52977682534242</v>
      </c>
      <c r="DE49" s="52">
        <f t="shared" si="206"/>
        <v>-48456525.390699692</v>
      </c>
      <c r="DF49" s="52">
        <f t="shared" si="207"/>
        <v>366.59779782750678</v>
      </c>
      <c r="DG49" s="53">
        <f t="shared" si="208"/>
        <v>1737.6751176589323</v>
      </c>
      <c r="DH49" s="1"/>
      <c r="DI49" s="52">
        <f t="shared" si="209"/>
        <v>5950</v>
      </c>
      <c r="DJ49" s="52">
        <f t="shared" si="210"/>
        <v>-646328.77009995678</v>
      </c>
      <c r="DK49" s="52">
        <f t="shared" si="211"/>
        <v>-10390485.477618426</v>
      </c>
      <c r="DL49" s="52">
        <f t="shared" si="212"/>
        <v>122.84245410335218</v>
      </c>
      <c r="DM49" s="52">
        <f t="shared" si="213"/>
        <v>117.58246426317454</v>
      </c>
      <c r="DN49" s="52">
        <f t="shared" si="214"/>
        <v>-10920166.965743518</v>
      </c>
      <c r="DO49" s="52">
        <f t="shared" si="215"/>
        <v>123.48892515295185</v>
      </c>
      <c r="DP49" s="53">
        <f t="shared" si="216"/>
        <v>1369.0432083131848</v>
      </c>
      <c r="DT49" s="41" t="str">
        <f t="shared" si="84"/>
        <v>C161</v>
      </c>
      <c r="DU49" s="55">
        <f t="shared" si="85"/>
        <v>8</v>
      </c>
      <c r="DV49" s="56" t="str">
        <f t="shared" si="86"/>
        <v>φ</v>
      </c>
      <c r="DW49" s="57">
        <f t="shared" si="87"/>
        <v>14</v>
      </c>
    </row>
    <row r="50" spans="1:256" ht="16.5" customHeight="1" thickTop="1" thickBot="1" x14ac:dyDescent="0.3">
      <c r="A50" s="42" t="s">
        <v>145</v>
      </c>
      <c r="B50" s="175" t="s">
        <v>197</v>
      </c>
      <c r="C50" s="93"/>
      <c r="D50" s="43">
        <v>200</v>
      </c>
      <c r="E50" s="43">
        <v>500</v>
      </c>
      <c r="F50" s="42">
        <v>2900</v>
      </c>
      <c r="G50" s="94">
        <v>449.86</v>
      </c>
      <c r="H50" s="94">
        <v>42.32</v>
      </c>
      <c r="I50" s="94">
        <v>33.18</v>
      </c>
      <c r="J50" s="94">
        <v>-3.69</v>
      </c>
      <c r="K50" s="94">
        <v>5.0599999999999996</v>
      </c>
      <c r="L50" s="43">
        <f t="shared" si="138"/>
        <v>17.399999999999999</v>
      </c>
      <c r="M50" s="43">
        <f t="shared" si="139"/>
        <v>24.591682419659737</v>
      </c>
      <c r="N50" s="44" t="str">
        <f t="shared" si="140"/>
        <v>sho.col</v>
      </c>
      <c r="P50" s="46">
        <f t="shared" si="141"/>
        <v>42.32</v>
      </c>
      <c r="Q50" s="46">
        <f t="shared" si="142"/>
        <v>33.18</v>
      </c>
      <c r="R50" s="46">
        <f t="shared" si="143"/>
        <v>3.69</v>
      </c>
      <c r="S50" s="46">
        <f t="shared" si="144"/>
        <v>5.0599999999999996</v>
      </c>
      <c r="U50" s="289"/>
      <c r="V50" s="301"/>
      <c r="W50" s="15" t="s">
        <v>99</v>
      </c>
      <c r="X50" s="43">
        <f>(X47*X48^3/12)/X49</f>
        <v>4102564.1025641025</v>
      </c>
      <c r="Y50" s="43">
        <f>(Y47*Y48^3/12)/Y49</f>
        <v>2071197.4110032362</v>
      </c>
      <c r="Z50" s="293"/>
      <c r="AA50" s="293"/>
      <c r="AB50" s="293"/>
      <c r="AC50" s="295"/>
      <c r="AD50" s="294"/>
      <c r="AE50" s="293"/>
      <c r="AJ50" s="306" t="str">
        <f t="shared" si="145"/>
        <v>C162</v>
      </c>
      <c r="AK50" s="307"/>
      <c r="AL50" s="43">
        <v>200</v>
      </c>
      <c r="AM50" s="43">
        <v>500</v>
      </c>
      <c r="AN50" s="43">
        <f t="shared" si="146"/>
        <v>440</v>
      </c>
      <c r="AO50" s="43">
        <f t="shared" si="147"/>
        <v>449.86</v>
      </c>
      <c r="AP50" s="43">
        <f t="shared" si="148"/>
        <v>42.32</v>
      </c>
      <c r="AQ50" s="43">
        <f t="shared" si="149"/>
        <v>3.69</v>
      </c>
      <c r="AR50" s="43">
        <f t="shared" si="150"/>
        <v>47.287307692307692</v>
      </c>
      <c r="AS50" s="43">
        <f t="shared" si="151"/>
        <v>12.805076923076923</v>
      </c>
      <c r="AT50" s="43">
        <f t="shared" si="152"/>
        <v>47.287307692307692</v>
      </c>
      <c r="AU50" s="43">
        <f t="shared" si="153"/>
        <v>0.10511560861669784</v>
      </c>
      <c r="AV50" s="44" t="str">
        <f t="shared" si="154"/>
        <v>Compression</v>
      </c>
      <c r="AW50" s="43">
        <f t="shared" si="155"/>
        <v>1000</v>
      </c>
      <c r="AX50" s="43">
        <f t="shared" si="156"/>
        <v>250</v>
      </c>
      <c r="AY50" s="43">
        <f t="shared" si="157"/>
        <v>0.01</v>
      </c>
      <c r="AZ50" s="47">
        <f t="shared" si="158"/>
        <v>8</v>
      </c>
      <c r="BA50" s="48" t="s">
        <v>65</v>
      </c>
      <c r="BB50" s="49">
        <v>14</v>
      </c>
      <c r="BC50" s="94">
        <v>36.380000000000003</v>
      </c>
      <c r="BD50" s="43">
        <f t="shared" si="159"/>
        <v>61.734197258173779</v>
      </c>
      <c r="BE50" s="43">
        <f t="shared" si="217"/>
        <v>-61.734197258173786</v>
      </c>
      <c r="BF50" s="43">
        <f t="shared" si="160"/>
        <v>100</v>
      </c>
      <c r="BG50" s="43">
        <f t="shared" si="161"/>
        <v>500</v>
      </c>
      <c r="BH50" s="44" t="str">
        <f t="shared" si="218"/>
        <v>No Need Shear Reinf.</v>
      </c>
      <c r="BI50" s="50" t="str">
        <f t="shared" si="162"/>
        <v>Use Φ10@100mm</v>
      </c>
      <c r="BJ50" s="43">
        <f t="shared" si="163"/>
        <v>200</v>
      </c>
      <c r="BK50" s="43">
        <f t="shared" si="164"/>
        <v>500</v>
      </c>
      <c r="BL50" s="43">
        <f t="shared" si="165"/>
        <v>220</v>
      </c>
      <c r="BM50" s="43">
        <f t="shared" si="172"/>
        <v>70</v>
      </c>
      <c r="BN50" s="43">
        <f t="shared" si="173"/>
        <v>460.90909090909082</v>
      </c>
      <c r="BO50" s="43">
        <f t="shared" si="174"/>
        <v>162.85714285714292</v>
      </c>
      <c r="BP50" s="43">
        <f t="shared" si="175"/>
        <v>1039.8696</v>
      </c>
      <c r="BQ50" s="43">
        <f t="shared" si="176"/>
        <v>746.46960000000001</v>
      </c>
      <c r="BR50" s="43">
        <f t="shared" si="166"/>
        <v>194.37202400000001</v>
      </c>
      <c r="BS50" s="43">
        <f t="shared" si="177"/>
        <v>34.023783999999999</v>
      </c>
      <c r="BT50" s="43">
        <f t="shared" si="178"/>
        <v>0.18691961376695695</v>
      </c>
      <c r="BU50" s="43">
        <f t="shared" si="179"/>
        <v>4.5579597615227729E-2</v>
      </c>
      <c r="BV50" s="43">
        <f t="shared" si="167"/>
        <v>9.4073711821455561E-2</v>
      </c>
      <c r="BW50" s="43">
        <f t="shared" si="168"/>
        <v>8.2025519050371223E-3</v>
      </c>
      <c r="BX50" s="44" t="str">
        <f t="shared" si="180"/>
        <v>Compression Controls</v>
      </c>
      <c r="BY50" s="44" t="str">
        <f t="shared" si="181"/>
        <v>Compression Controls</v>
      </c>
      <c r="BZ50" s="43">
        <f t="shared" si="182"/>
        <v>1691.7724557978484</v>
      </c>
      <c r="CA50" s="43">
        <f t="shared" si="183"/>
        <v>2380.1319138610002</v>
      </c>
      <c r="CB50" s="43">
        <f t="shared" si="184"/>
        <v>2868.1183999999998</v>
      </c>
      <c r="CC50" s="43">
        <f t="shared" si="169"/>
        <v>981.0133474026336</v>
      </c>
      <c r="CD50" s="51" t="str">
        <f t="shared" si="170"/>
        <v xml:space="preserve">Safe </v>
      </c>
      <c r="CE50" s="1"/>
      <c r="CF50" s="1"/>
      <c r="CG50" s="43">
        <f t="shared" si="171"/>
        <v>308</v>
      </c>
      <c r="CH50" s="43">
        <f t="shared" si="185"/>
        <v>440</v>
      </c>
      <c r="CI50" s="43">
        <f t="shared" si="186"/>
        <v>284.07371182145556</v>
      </c>
      <c r="CJ50" s="52">
        <f t="shared" si="187"/>
        <v>8.3781071635937376</v>
      </c>
      <c r="CK50" s="52">
        <f t="shared" si="188"/>
        <v>-2612.7343039624902</v>
      </c>
      <c r="CL50" s="52">
        <f t="shared" si="189"/>
        <v>143592.92560773875</v>
      </c>
      <c r="CM50" s="52">
        <f t="shared" si="190"/>
        <v>-69115200</v>
      </c>
      <c r="CN50" s="52">
        <f t="shared" si="191"/>
        <v>334.37825749798338</v>
      </c>
      <c r="CO50" s="53">
        <f t="shared" si="192"/>
        <v>1691.7724557978484</v>
      </c>
      <c r="CP50" s="1"/>
      <c r="CQ50" s="43">
        <f t="shared" si="193"/>
        <v>140</v>
      </c>
      <c r="CR50" s="43">
        <f t="shared" si="194"/>
        <v>48.202551905037126</v>
      </c>
      <c r="CS50" s="52">
        <f t="shared" si="195"/>
        <v>123.43744811938535</v>
      </c>
      <c r="CT50" s="52">
        <f t="shared" si="196"/>
        <v>-22662.4854734279</v>
      </c>
      <c r="CU50" s="52">
        <f t="shared" si="197"/>
        <v>104301.56747523566</v>
      </c>
      <c r="CV50" s="52">
        <f t="shared" si="198"/>
        <v>-21991200</v>
      </c>
      <c r="CW50" s="52">
        <f t="shared" si="199"/>
        <v>184.25657788317315</v>
      </c>
      <c r="CX50" s="53">
        <f t="shared" si="200"/>
        <v>2380.1319138610002</v>
      </c>
      <c r="CY50" s="1"/>
      <c r="CZ50" s="52">
        <f t="shared" si="201"/>
        <v>2380</v>
      </c>
      <c r="DA50" s="52">
        <f t="shared" si="202"/>
        <v>-742209.1317298715</v>
      </c>
      <c r="DB50" s="54">
        <f t="shared" si="203"/>
        <v>-48453621.937135994</v>
      </c>
      <c r="DC50" s="54">
        <f t="shared" si="204"/>
        <v>367.2830293168563</v>
      </c>
      <c r="DD50" s="52">
        <f t="shared" si="205"/>
        <v>516.68550529841855</v>
      </c>
      <c r="DE50" s="52">
        <f t="shared" si="206"/>
        <v>-48453621.937135994</v>
      </c>
      <c r="DF50" s="52">
        <f t="shared" si="207"/>
        <v>367.2830293168563</v>
      </c>
      <c r="DG50" s="53">
        <f t="shared" si="208"/>
        <v>1740.9368195482359</v>
      </c>
      <c r="DH50" s="1"/>
      <c r="DI50" s="52">
        <f t="shared" si="209"/>
        <v>5950</v>
      </c>
      <c r="DJ50" s="52">
        <f t="shared" si="210"/>
        <v>-1092389.6323300581</v>
      </c>
      <c r="DK50" s="52">
        <f t="shared" si="211"/>
        <v>-10115711.986484684</v>
      </c>
      <c r="DL50" s="52">
        <f t="shared" si="212"/>
        <v>192.42990378566668</v>
      </c>
      <c r="DM50" s="52">
        <f t="shared" si="213"/>
        <v>231.04237195286467</v>
      </c>
      <c r="DN50" s="52">
        <f t="shared" si="214"/>
        <v>-8265133.9125320502</v>
      </c>
      <c r="DO50" s="52">
        <f t="shared" si="215"/>
        <v>190.87251868947425</v>
      </c>
      <c r="DP50" s="53">
        <f t="shared" si="216"/>
        <v>2205.8536229662259</v>
      </c>
      <c r="DT50" s="41" t="str">
        <f t="shared" si="84"/>
        <v>C162</v>
      </c>
      <c r="DU50" s="55">
        <f t="shared" si="85"/>
        <v>8</v>
      </c>
      <c r="DV50" s="56" t="str">
        <f t="shared" si="86"/>
        <v>φ</v>
      </c>
      <c r="DW50" s="57">
        <f t="shared" si="87"/>
        <v>14</v>
      </c>
    </row>
    <row r="51" spans="1:256" s="86" customFormat="1" ht="16.5" customHeight="1" thickTop="1" thickBot="1" x14ac:dyDescent="0.3">
      <c r="A51" s="72" t="s">
        <v>145</v>
      </c>
      <c r="B51" s="175" t="s">
        <v>198</v>
      </c>
      <c r="C51" s="93"/>
      <c r="D51" s="43">
        <v>200</v>
      </c>
      <c r="E51" s="43">
        <v>500</v>
      </c>
      <c r="F51" s="72">
        <v>2900</v>
      </c>
      <c r="G51" s="94">
        <v>403.21</v>
      </c>
      <c r="H51" s="94">
        <v>17.37</v>
      </c>
      <c r="I51" s="94">
        <v>12.58</v>
      </c>
      <c r="J51" s="94">
        <v>6.7</v>
      </c>
      <c r="K51" s="94">
        <v>8.02</v>
      </c>
      <c r="L51" s="43">
        <f t="shared" si="138"/>
        <v>17.399999999999999</v>
      </c>
      <c r="M51" s="43">
        <f t="shared" si="139"/>
        <v>25.309153713298791</v>
      </c>
      <c r="N51" s="44" t="str">
        <f t="shared" si="140"/>
        <v>sho.col</v>
      </c>
      <c r="O51" s="76"/>
      <c r="P51" s="46">
        <f t="shared" si="141"/>
        <v>17.37</v>
      </c>
      <c r="Q51" s="46">
        <f t="shared" si="142"/>
        <v>12.58</v>
      </c>
      <c r="R51" s="46">
        <f t="shared" si="143"/>
        <v>6.7</v>
      </c>
      <c r="S51" s="46">
        <f t="shared" si="144"/>
        <v>8.02</v>
      </c>
      <c r="T51" s="76"/>
      <c r="U51" s="289"/>
      <c r="V51" s="300" t="s">
        <v>101</v>
      </c>
      <c r="W51" s="77" t="s">
        <v>86</v>
      </c>
      <c r="X51" s="73">
        <v>500</v>
      </c>
      <c r="Y51" s="73">
        <v>500</v>
      </c>
      <c r="Z51" s="293">
        <v>500</v>
      </c>
      <c r="AA51" s="293">
        <v>501</v>
      </c>
      <c r="AB51" s="293">
        <v>502</v>
      </c>
      <c r="AC51" s="292">
        <v>0</v>
      </c>
      <c r="AD51" s="292">
        <v>1</v>
      </c>
      <c r="AE51" s="293"/>
      <c r="AF51" s="76"/>
      <c r="AG51" s="76"/>
      <c r="AH51" s="76"/>
      <c r="AI51" s="76"/>
      <c r="AJ51" s="312" t="str">
        <f t="shared" si="145"/>
        <v>C163</v>
      </c>
      <c r="AK51" s="313"/>
      <c r="AL51" s="43">
        <v>200</v>
      </c>
      <c r="AM51" s="43">
        <v>500</v>
      </c>
      <c r="AN51" s="73">
        <f t="shared" si="146"/>
        <v>440</v>
      </c>
      <c r="AO51" s="73">
        <f t="shared" si="147"/>
        <v>403.21</v>
      </c>
      <c r="AP51" s="73">
        <f t="shared" si="148"/>
        <v>17.37</v>
      </c>
      <c r="AQ51" s="73">
        <f t="shared" si="149"/>
        <v>6.7</v>
      </c>
      <c r="AR51" s="73">
        <f t="shared" si="150"/>
        <v>26.389230769230771</v>
      </c>
      <c r="AS51" s="73">
        <f t="shared" si="151"/>
        <v>10.441230769230769</v>
      </c>
      <c r="AT51" s="73">
        <f t="shared" si="152"/>
        <v>26.389230769230771</v>
      </c>
      <c r="AU51" s="73">
        <f t="shared" si="153"/>
        <v>6.5447857863720579E-2</v>
      </c>
      <c r="AV51" s="73" t="str">
        <f t="shared" si="154"/>
        <v>Compression</v>
      </c>
      <c r="AW51" s="73">
        <f t="shared" si="155"/>
        <v>1000</v>
      </c>
      <c r="AX51" s="73">
        <f t="shared" si="156"/>
        <v>250</v>
      </c>
      <c r="AY51" s="73">
        <f t="shared" si="157"/>
        <v>0.01</v>
      </c>
      <c r="AZ51" s="79">
        <f t="shared" si="158"/>
        <v>8</v>
      </c>
      <c r="BA51" s="80" t="s">
        <v>65</v>
      </c>
      <c r="BB51" s="81">
        <v>14</v>
      </c>
      <c r="BC51" s="94">
        <v>11.52</v>
      </c>
      <c r="BD51" s="73">
        <f t="shared" si="159"/>
        <v>61.734197258173779</v>
      </c>
      <c r="BE51" s="73">
        <f t="shared" si="217"/>
        <v>-61.734197258173786</v>
      </c>
      <c r="BF51" s="73">
        <f t="shared" si="160"/>
        <v>100</v>
      </c>
      <c r="BG51" s="73">
        <f t="shared" si="161"/>
        <v>500</v>
      </c>
      <c r="BH51" s="73" t="str">
        <f t="shared" si="218"/>
        <v>No Need Shear Reinf.</v>
      </c>
      <c r="BI51" s="87" t="str">
        <f t="shared" si="162"/>
        <v>Use Φ10@100mm</v>
      </c>
      <c r="BJ51" s="73">
        <f t="shared" si="163"/>
        <v>200</v>
      </c>
      <c r="BK51" s="73">
        <f t="shared" si="164"/>
        <v>500</v>
      </c>
      <c r="BL51" s="73">
        <f t="shared" si="165"/>
        <v>220</v>
      </c>
      <c r="BM51" s="73">
        <f t="shared" si="172"/>
        <v>70</v>
      </c>
      <c r="BN51" s="73">
        <f t="shared" si="173"/>
        <v>460.90909090909082</v>
      </c>
      <c r="BO51" s="73">
        <f t="shared" si="174"/>
        <v>162.85714285714292</v>
      </c>
      <c r="BP51" s="73">
        <f t="shared" si="175"/>
        <v>1039.8696</v>
      </c>
      <c r="BQ51" s="73">
        <f t="shared" si="176"/>
        <v>746.46960000000001</v>
      </c>
      <c r="BR51" s="73">
        <f t="shared" si="166"/>
        <v>194.37202400000001</v>
      </c>
      <c r="BS51" s="73">
        <f t="shared" si="177"/>
        <v>34.023783999999999</v>
      </c>
      <c r="BT51" s="73">
        <f t="shared" si="178"/>
        <v>0.18691961376695695</v>
      </c>
      <c r="BU51" s="73">
        <f t="shared" si="179"/>
        <v>4.5579597615227729E-2</v>
      </c>
      <c r="BV51" s="73">
        <f t="shared" si="167"/>
        <v>4.3079288708117364E-2</v>
      </c>
      <c r="BW51" s="73">
        <f t="shared" si="168"/>
        <v>1.6616651372733812E-2</v>
      </c>
      <c r="BX51" s="73" t="str">
        <f t="shared" si="180"/>
        <v>Compression Controls</v>
      </c>
      <c r="BY51" s="73" t="str">
        <f t="shared" si="181"/>
        <v>Compression Controls</v>
      </c>
      <c r="BZ51" s="73">
        <f t="shared" si="182"/>
        <v>2173.9073186898763</v>
      </c>
      <c r="CA51" s="73">
        <f t="shared" si="183"/>
        <v>2157.7293349823954</v>
      </c>
      <c r="CB51" s="73">
        <f t="shared" si="184"/>
        <v>2868.1183999999998</v>
      </c>
      <c r="CC51" s="73">
        <f t="shared" si="169"/>
        <v>1491.421568</v>
      </c>
      <c r="CD51" s="88" t="str">
        <f t="shared" si="170"/>
        <v xml:space="preserve">Safe </v>
      </c>
      <c r="CE51" s="76"/>
      <c r="CF51" s="76"/>
      <c r="CG51" s="73">
        <f t="shared" si="171"/>
        <v>308</v>
      </c>
      <c r="CH51" s="73">
        <f t="shared" si="185"/>
        <v>440</v>
      </c>
      <c r="CI51" s="73">
        <f t="shared" si="186"/>
        <v>233.07928870811736</v>
      </c>
      <c r="CJ51" s="73">
        <f t="shared" si="187"/>
        <v>10.211117483632139</v>
      </c>
      <c r="CK51" s="73">
        <f t="shared" si="188"/>
        <v>-4225.7833855962817</v>
      </c>
      <c r="CL51" s="73">
        <f t="shared" si="189"/>
        <v>107879.07008796562</v>
      </c>
      <c r="CM51" s="73">
        <f t="shared" si="190"/>
        <v>-69115200</v>
      </c>
      <c r="CN51" s="73">
        <f t="shared" si="191"/>
        <v>426.30346234033806</v>
      </c>
      <c r="CO51" s="73">
        <f t="shared" si="192"/>
        <v>2173.9073186898763</v>
      </c>
      <c r="CP51" s="76"/>
      <c r="CQ51" s="73">
        <f t="shared" si="193"/>
        <v>140</v>
      </c>
      <c r="CR51" s="73">
        <f t="shared" si="194"/>
        <v>56.616651372733813</v>
      </c>
      <c r="CS51" s="73">
        <f t="shared" si="195"/>
        <v>105.09275726726358</v>
      </c>
      <c r="CT51" s="73">
        <f t="shared" si="196"/>
        <v>-17525.972034833801</v>
      </c>
      <c r="CU51" s="73">
        <f t="shared" si="197"/>
        <v>134400.32763399975</v>
      </c>
      <c r="CV51" s="73">
        <f t="shared" si="198"/>
        <v>-21991200</v>
      </c>
      <c r="CW51" s="73">
        <f t="shared" si="199"/>
        <v>166.62834303652284</v>
      </c>
      <c r="CX51" s="73">
        <f t="shared" si="200"/>
        <v>2157.7293349823954</v>
      </c>
      <c r="CY51" s="76"/>
      <c r="CZ51" s="73">
        <f t="shared" si="201"/>
        <v>2380</v>
      </c>
      <c r="DA51" s="73">
        <f t="shared" si="202"/>
        <v>-984942.58574936131</v>
      </c>
      <c r="DB51" s="75">
        <f t="shared" si="203"/>
        <v>-48079812.417945981</v>
      </c>
      <c r="DC51" s="75">
        <f t="shared" si="204"/>
        <v>457.95414057535174</v>
      </c>
      <c r="DD51" s="73">
        <f t="shared" si="205"/>
        <v>533.18108236437035</v>
      </c>
      <c r="DE51" s="73">
        <f t="shared" si="206"/>
        <v>-48079812.417945981</v>
      </c>
      <c r="DF51" s="73">
        <f t="shared" si="207"/>
        <v>457.95414057535174</v>
      </c>
      <c r="DG51" s="73">
        <f t="shared" si="208"/>
        <v>2172.5313091386743</v>
      </c>
      <c r="DH51" s="76"/>
      <c r="DI51" s="73">
        <f t="shared" si="209"/>
        <v>5950</v>
      </c>
      <c r="DJ51" s="73">
        <f t="shared" si="210"/>
        <v>-992261.84866446757</v>
      </c>
      <c r="DK51" s="73">
        <f t="shared" si="211"/>
        <v>-10177390.701222688</v>
      </c>
      <c r="DL51" s="73">
        <f t="shared" si="212"/>
        <v>176.46003024212868</v>
      </c>
      <c r="DM51" s="73">
        <f t="shared" si="213"/>
        <v>164.37457700612555</v>
      </c>
      <c r="DN51" s="73">
        <f t="shared" si="214"/>
        <v>-8336358.1589943767</v>
      </c>
      <c r="DO51" s="73">
        <f t="shared" si="215"/>
        <v>174.78275467810727</v>
      </c>
      <c r="DP51" s="73">
        <f t="shared" si="216"/>
        <v>1993.8517503873632</v>
      </c>
      <c r="DQ51" s="76"/>
      <c r="DR51" s="76"/>
      <c r="DS51" s="76"/>
      <c r="DT51" s="41" t="str">
        <f t="shared" si="84"/>
        <v>C163</v>
      </c>
      <c r="DU51" s="55">
        <f t="shared" si="85"/>
        <v>8</v>
      </c>
      <c r="DV51" s="56" t="str">
        <f t="shared" si="86"/>
        <v>φ</v>
      </c>
      <c r="DW51" s="57">
        <f t="shared" si="87"/>
        <v>14</v>
      </c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  <c r="HN51" s="76"/>
      <c r="HO51" s="76"/>
      <c r="HP51" s="76"/>
      <c r="HQ51" s="76"/>
      <c r="HR51" s="76"/>
      <c r="HS51" s="76"/>
      <c r="HT51" s="76"/>
      <c r="HU51" s="76"/>
      <c r="HV51" s="76"/>
      <c r="HW51" s="76"/>
      <c r="HX51" s="76"/>
      <c r="HY51" s="76"/>
      <c r="HZ51" s="76"/>
      <c r="IA51" s="76"/>
      <c r="IB51" s="76"/>
      <c r="IC51" s="76"/>
      <c r="ID51" s="76"/>
      <c r="IE51" s="76"/>
      <c r="IF51" s="76"/>
      <c r="IG51" s="76"/>
      <c r="IH51" s="76"/>
      <c r="II51" s="76"/>
      <c r="IJ51" s="76"/>
      <c r="IK51" s="76"/>
      <c r="IL51" s="76"/>
      <c r="IM51" s="76"/>
      <c r="IN51" s="76"/>
      <c r="IO51" s="76"/>
      <c r="IP51" s="76"/>
      <c r="IQ51" s="76"/>
      <c r="IR51" s="76"/>
      <c r="IS51" s="76"/>
      <c r="IT51" s="76"/>
      <c r="IU51" s="76"/>
      <c r="IV51" s="76"/>
    </row>
    <row r="52" spans="1:256" ht="16.5" customHeight="1" thickTop="1" thickBot="1" x14ac:dyDescent="0.3">
      <c r="A52" s="42" t="s">
        <v>145</v>
      </c>
      <c r="B52" s="175" t="s">
        <v>199</v>
      </c>
      <c r="C52" s="93"/>
      <c r="D52" s="43">
        <v>200</v>
      </c>
      <c r="E52" s="43">
        <v>500</v>
      </c>
      <c r="F52" s="42">
        <v>2900</v>
      </c>
      <c r="G52" s="94">
        <v>192.08</v>
      </c>
      <c r="H52" s="94">
        <v>-5.54</v>
      </c>
      <c r="I52" s="94">
        <v>-2.48</v>
      </c>
      <c r="J52" s="94">
        <v>2.9</v>
      </c>
      <c r="K52" s="94">
        <v>10.91</v>
      </c>
      <c r="L52" s="43">
        <f t="shared" si="138"/>
        <v>17.399999999999999</v>
      </c>
      <c r="M52" s="43">
        <f t="shared" si="139"/>
        <v>28.628158844765345</v>
      </c>
      <c r="N52" s="44" t="str">
        <f t="shared" si="140"/>
        <v>sho.col</v>
      </c>
      <c r="P52" s="46">
        <f t="shared" si="141"/>
        <v>5.54</v>
      </c>
      <c r="Q52" s="46">
        <f t="shared" si="142"/>
        <v>2.48</v>
      </c>
      <c r="R52" s="46">
        <f t="shared" si="143"/>
        <v>2.9</v>
      </c>
      <c r="S52" s="46">
        <f t="shared" si="144"/>
        <v>10.91</v>
      </c>
      <c r="U52" s="289"/>
      <c r="V52" s="298"/>
      <c r="W52" s="15" t="s">
        <v>97</v>
      </c>
      <c r="X52" s="43">
        <v>800</v>
      </c>
      <c r="Y52" s="43">
        <v>800</v>
      </c>
      <c r="Z52" s="295"/>
      <c r="AA52" s="295"/>
      <c r="AB52" s="295"/>
      <c r="AC52" s="295"/>
      <c r="AD52" s="293"/>
      <c r="AE52" s="293"/>
      <c r="AJ52" s="306" t="str">
        <f t="shared" si="145"/>
        <v>C164</v>
      </c>
      <c r="AK52" s="307"/>
      <c r="AL52" s="43">
        <v>200</v>
      </c>
      <c r="AM52" s="43">
        <v>500</v>
      </c>
      <c r="AN52" s="43">
        <f t="shared" si="146"/>
        <v>440</v>
      </c>
      <c r="AO52" s="43">
        <f t="shared" si="147"/>
        <v>192.08</v>
      </c>
      <c r="AP52" s="43">
        <f t="shared" si="148"/>
        <v>5.54</v>
      </c>
      <c r="AQ52" s="43">
        <f t="shared" si="149"/>
        <v>2.9</v>
      </c>
      <c r="AR52" s="43">
        <f t="shared" si="150"/>
        <v>9.4438461538461542</v>
      </c>
      <c r="AS52" s="43">
        <f t="shared" si="151"/>
        <v>4.093230769230769</v>
      </c>
      <c r="AT52" s="43">
        <f t="shared" si="152"/>
        <v>9.4438461538461542</v>
      </c>
      <c r="AU52" s="43">
        <f t="shared" si="153"/>
        <v>4.9166212795950404E-2</v>
      </c>
      <c r="AV52" s="44" t="str">
        <f t="shared" si="154"/>
        <v>Compression</v>
      </c>
      <c r="AW52" s="43">
        <f t="shared" si="155"/>
        <v>1000</v>
      </c>
      <c r="AX52" s="43">
        <f t="shared" si="156"/>
        <v>250</v>
      </c>
      <c r="AY52" s="43">
        <f t="shared" si="157"/>
        <v>0.01</v>
      </c>
      <c r="AZ52" s="47">
        <f t="shared" si="158"/>
        <v>8</v>
      </c>
      <c r="BA52" s="48" t="s">
        <v>65</v>
      </c>
      <c r="BB52" s="49">
        <v>14</v>
      </c>
      <c r="BC52" s="94">
        <v>63.68</v>
      </c>
      <c r="BD52" s="43">
        <f t="shared" si="159"/>
        <v>61.734197258173779</v>
      </c>
      <c r="BE52" s="43">
        <f t="shared" si="217"/>
        <v>-61.734197258173786</v>
      </c>
      <c r="BF52" s="43">
        <f t="shared" si="160"/>
        <v>100</v>
      </c>
      <c r="BG52" s="43">
        <f t="shared" si="161"/>
        <v>500</v>
      </c>
      <c r="BH52" s="44" t="str">
        <f t="shared" si="218"/>
        <v>No Need Shear Reinf.</v>
      </c>
      <c r="BI52" s="50" t="str">
        <f t="shared" si="162"/>
        <v>Use Φ10@100mm</v>
      </c>
      <c r="BJ52" s="43">
        <f t="shared" si="163"/>
        <v>200</v>
      </c>
      <c r="BK52" s="43">
        <f t="shared" si="164"/>
        <v>500</v>
      </c>
      <c r="BL52" s="43">
        <f t="shared" si="165"/>
        <v>220</v>
      </c>
      <c r="BM52" s="43">
        <f t="shared" si="172"/>
        <v>70</v>
      </c>
      <c r="BN52" s="43">
        <f t="shared" si="173"/>
        <v>460.90909090909082</v>
      </c>
      <c r="BO52" s="43">
        <f t="shared" si="174"/>
        <v>162.85714285714292</v>
      </c>
      <c r="BP52" s="43">
        <f t="shared" si="175"/>
        <v>1039.8696</v>
      </c>
      <c r="BQ52" s="43">
        <f t="shared" si="176"/>
        <v>746.46960000000001</v>
      </c>
      <c r="BR52" s="43">
        <f t="shared" si="166"/>
        <v>194.37202400000001</v>
      </c>
      <c r="BS52" s="43">
        <f t="shared" si="177"/>
        <v>34.023783999999999</v>
      </c>
      <c r="BT52" s="43">
        <f t="shared" si="178"/>
        <v>0.18691961376695695</v>
      </c>
      <c r="BU52" s="43">
        <f t="shared" si="179"/>
        <v>4.5579597615227729E-2</v>
      </c>
      <c r="BV52" s="43">
        <f t="shared" si="167"/>
        <v>2.8842149104539774E-2</v>
      </c>
      <c r="BW52" s="43">
        <f t="shared" si="168"/>
        <v>1.5097875885047895E-2</v>
      </c>
      <c r="BX52" s="44" t="str">
        <f t="shared" si="180"/>
        <v>Compression Controls</v>
      </c>
      <c r="BY52" s="44" t="str">
        <f t="shared" si="181"/>
        <v>Compression Controls</v>
      </c>
      <c r="BZ52" s="43">
        <f t="shared" si="182"/>
        <v>2315.2650273391719</v>
      </c>
      <c r="CA52" s="43">
        <f t="shared" si="183"/>
        <v>2197.8994131948107</v>
      </c>
      <c r="CB52" s="43">
        <f t="shared" si="184"/>
        <v>2868.1183999999998</v>
      </c>
      <c r="CC52" s="43">
        <f t="shared" si="169"/>
        <v>1491.421568</v>
      </c>
      <c r="CD52" s="51" t="str">
        <f t="shared" si="170"/>
        <v xml:space="preserve">Safe </v>
      </c>
      <c r="CE52" s="1"/>
      <c r="CF52" s="1"/>
      <c r="CG52" s="43">
        <f t="shared" si="171"/>
        <v>308</v>
      </c>
      <c r="CH52" s="43">
        <f t="shared" si="185"/>
        <v>440</v>
      </c>
      <c r="CI52" s="43">
        <f t="shared" si="186"/>
        <v>218.84214910453977</v>
      </c>
      <c r="CJ52" s="52">
        <f t="shared" si="187"/>
        <v>10.875418696711328</v>
      </c>
      <c r="CK52" s="52">
        <f t="shared" si="188"/>
        <v>-4810.3684531059689</v>
      </c>
      <c r="CL52" s="52">
        <f t="shared" si="189"/>
        <v>94936.012819732045</v>
      </c>
      <c r="CM52" s="52">
        <f t="shared" si="190"/>
        <v>-69115200</v>
      </c>
      <c r="CN52" s="52">
        <f t="shared" si="191"/>
        <v>453.927689464862</v>
      </c>
      <c r="CO52" s="53">
        <f t="shared" si="192"/>
        <v>2315.2650273391719</v>
      </c>
      <c r="CP52" s="1"/>
      <c r="CQ52" s="43">
        <f t="shared" si="193"/>
        <v>140</v>
      </c>
      <c r="CR52" s="43">
        <f t="shared" si="194"/>
        <v>55.097875885047898</v>
      </c>
      <c r="CS52" s="52">
        <f t="shared" si="195"/>
        <v>107.98964396401844</v>
      </c>
      <c r="CT52" s="52">
        <f t="shared" si="196"/>
        <v>-18337.100309925165</v>
      </c>
      <c r="CU52" s="52">
        <f t="shared" si="197"/>
        <v>129647.30679567618</v>
      </c>
      <c r="CV52" s="52">
        <f t="shared" si="198"/>
        <v>-21991200</v>
      </c>
      <c r="CW52" s="52">
        <f t="shared" si="199"/>
        <v>169.79701334075313</v>
      </c>
      <c r="CX52" s="53">
        <f t="shared" si="200"/>
        <v>2197.8994131948107</v>
      </c>
      <c r="CY52" s="1"/>
      <c r="CZ52" s="52">
        <f t="shared" si="201"/>
        <v>2380</v>
      </c>
      <c r="DA52" s="52">
        <f t="shared" si="202"/>
        <v>-1052711.3702623907</v>
      </c>
      <c r="DB52" s="54">
        <f t="shared" si="203"/>
        <v>-47975448.489795916</v>
      </c>
      <c r="DC52" s="54">
        <f t="shared" si="204"/>
        <v>483.96680523111337</v>
      </c>
      <c r="DD52" s="52">
        <f t="shared" si="205"/>
        <v>536.77252309610924</v>
      </c>
      <c r="DE52" s="52">
        <f t="shared" si="206"/>
        <v>-47975448.489795916</v>
      </c>
      <c r="DF52" s="52">
        <f t="shared" si="207"/>
        <v>483.96680523111337</v>
      </c>
      <c r="DG52" s="53">
        <f t="shared" si="208"/>
        <v>2296.3515929000996</v>
      </c>
      <c r="DH52" s="1"/>
      <c r="DI52" s="52">
        <f t="shared" si="209"/>
        <v>5950</v>
      </c>
      <c r="DJ52" s="52">
        <f t="shared" si="210"/>
        <v>-1010335.27696793</v>
      </c>
      <c r="DK52" s="52">
        <f t="shared" si="211"/>
        <v>-10166257.469387755</v>
      </c>
      <c r="DL52" s="52">
        <f t="shared" si="212"/>
        <v>179.33191485901853</v>
      </c>
      <c r="DM52" s="52">
        <f t="shared" si="213"/>
        <v>159.10006240746401</v>
      </c>
      <c r="DN52" s="52">
        <f t="shared" si="214"/>
        <v>-8165192.980113877</v>
      </c>
      <c r="DO52" s="52">
        <f t="shared" si="215"/>
        <v>177.53404097100309</v>
      </c>
      <c r="DP52" s="53">
        <f t="shared" si="216"/>
        <v>2024.9675067764358</v>
      </c>
      <c r="DT52" s="41" t="str">
        <f t="shared" si="84"/>
        <v>C164</v>
      </c>
      <c r="DU52" s="55">
        <f t="shared" si="85"/>
        <v>8</v>
      </c>
      <c r="DV52" s="56" t="str">
        <f t="shared" si="86"/>
        <v>φ</v>
      </c>
      <c r="DW52" s="57">
        <f t="shared" si="87"/>
        <v>14</v>
      </c>
    </row>
    <row r="53" spans="1:256" ht="16.5" customHeight="1" thickTop="1" thickBot="1" x14ac:dyDescent="0.3">
      <c r="A53" s="42" t="s">
        <v>145</v>
      </c>
      <c r="B53" s="175" t="s">
        <v>200</v>
      </c>
      <c r="C53" s="93"/>
      <c r="D53" s="43">
        <v>200</v>
      </c>
      <c r="E53" s="43">
        <v>500</v>
      </c>
      <c r="F53" s="42">
        <v>2900</v>
      </c>
      <c r="G53" s="94">
        <v>135.24</v>
      </c>
      <c r="H53" s="94">
        <v>-2.8</v>
      </c>
      <c r="I53" s="94">
        <v>12.95</v>
      </c>
      <c r="J53" s="94">
        <v>-9.09</v>
      </c>
      <c r="K53" s="94">
        <v>10.23</v>
      </c>
      <c r="L53" s="43">
        <f t="shared" si="138"/>
        <v>17.399999999999999</v>
      </c>
      <c r="M53" s="43">
        <f t="shared" si="139"/>
        <v>36.594594594594597</v>
      </c>
      <c r="N53" s="44" t="str">
        <f t="shared" si="140"/>
        <v>sho.col</v>
      </c>
      <c r="P53" s="46">
        <f t="shared" si="141"/>
        <v>2.8</v>
      </c>
      <c r="Q53" s="46">
        <f t="shared" si="142"/>
        <v>12.95</v>
      </c>
      <c r="R53" s="46">
        <f t="shared" si="143"/>
        <v>9.09</v>
      </c>
      <c r="S53" s="46">
        <f t="shared" si="144"/>
        <v>10.23</v>
      </c>
      <c r="U53" s="289"/>
      <c r="V53" s="298"/>
      <c r="W53" s="15" t="s">
        <v>98</v>
      </c>
      <c r="X53" s="43">
        <v>5200</v>
      </c>
      <c r="Y53" s="43">
        <v>10300</v>
      </c>
      <c r="Z53" s="292">
        <v>0</v>
      </c>
      <c r="AA53" s="292">
        <v>0</v>
      </c>
      <c r="AB53" s="292">
        <v>0</v>
      </c>
      <c r="AC53" s="292">
        <v>0</v>
      </c>
      <c r="AD53" s="293"/>
      <c r="AE53" s="293"/>
      <c r="AJ53" s="306" t="str">
        <f t="shared" si="145"/>
        <v>C165</v>
      </c>
      <c r="AK53" s="307"/>
      <c r="AL53" s="43">
        <v>200</v>
      </c>
      <c r="AM53" s="43">
        <v>500</v>
      </c>
      <c r="AN53" s="43">
        <f t="shared" si="146"/>
        <v>440</v>
      </c>
      <c r="AO53" s="43">
        <f t="shared" si="147"/>
        <v>135.24</v>
      </c>
      <c r="AP53" s="43">
        <f t="shared" si="148"/>
        <v>2.8</v>
      </c>
      <c r="AQ53" s="43">
        <f t="shared" si="149"/>
        <v>9.09</v>
      </c>
      <c r="AR53" s="43">
        <f t="shared" si="150"/>
        <v>15.036538461538463</v>
      </c>
      <c r="AS53" s="43">
        <f t="shared" si="151"/>
        <v>9.6930769230769229</v>
      </c>
      <c r="AT53" s="43">
        <f t="shared" si="152"/>
        <v>15.036538461538463</v>
      </c>
      <c r="AU53" s="43">
        <f t="shared" si="153"/>
        <v>0.11118410574932314</v>
      </c>
      <c r="AV53" s="44" t="str">
        <f t="shared" si="154"/>
        <v>Compression</v>
      </c>
      <c r="AW53" s="43">
        <f t="shared" si="155"/>
        <v>1000</v>
      </c>
      <c r="AX53" s="43">
        <f t="shared" si="156"/>
        <v>250</v>
      </c>
      <c r="AY53" s="43">
        <f t="shared" si="157"/>
        <v>0.01</v>
      </c>
      <c r="AZ53" s="47">
        <f t="shared" si="158"/>
        <v>8</v>
      </c>
      <c r="BA53" s="48" t="s">
        <v>65</v>
      </c>
      <c r="BB53" s="49">
        <v>14</v>
      </c>
      <c r="BC53" s="94">
        <v>5.85</v>
      </c>
      <c r="BD53" s="43">
        <f t="shared" si="159"/>
        <v>61.734197258173779</v>
      </c>
      <c r="BE53" s="43">
        <f t="shared" si="217"/>
        <v>-61.734197258173786</v>
      </c>
      <c r="BF53" s="43">
        <f t="shared" si="160"/>
        <v>100</v>
      </c>
      <c r="BG53" s="43">
        <f t="shared" si="161"/>
        <v>500</v>
      </c>
      <c r="BH53" s="44" t="str">
        <f t="shared" si="218"/>
        <v>No Need Shear Reinf.</v>
      </c>
      <c r="BI53" s="50" t="str">
        <f t="shared" si="162"/>
        <v>Use Φ10@100mm</v>
      </c>
      <c r="BJ53" s="43">
        <f t="shared" si="163"/>
        <v>200</v>
      </c>
      <c r="BK53" s="43">
        <f t="shared" si="164"/>
        <v>500</v>
      </c>
      <c r="BL53" s="43">
        <f t="shared" si="165"/>
        <v>220</v>
      </c>
      <c r="BM53" s="43">
        <f t="shared" si="172"/>
        <v>70</v>
      </c>
      <c r="BN53" s="43">
        <f t="shared" si="173"/>
        <v>460.90909090909082</v>
      </c>
      <c r="BO53" s="43">
        <f t="shared" si="174"/>
        <v>162.85714285714292</v>
      </c>
      <c r="BP53" s="43">
        <f t="shared" si="175"/>
        <v>1039.8696</v>
      </c>
      <c r="BQ53" s="43">
        <f t="shared" si="176"/>
        <v>746.46960000000001</v>
      </c>
      <c r="BR53" s="43">
        <f t="shared" si="166"/>
        <v>194.37202400000001</v>
      </c>
      <c r="BS53" s="43">
        <f t="shared" si="177"/>
        <v>34.023783999999999</v>
      </c>
      <c r="BT53" s="43">
        <f t="shared" si="178"/>
        <v>0.18691961376695695</v>
      </c>
      <c r="BU53" s="43">
        <f t="shared" si="179"/>
        <v>4.5579597615227729E-2</v>
      </c>
      <c r="BV53" s="43">
        <f t="shared" si="167"/>
        <v>2.0703933747412005E-2</v>
      </c>
      <c r="BW53" s="43">
        <f t="shared" si="168"/>
        <v>6.7213842058562553E-2</v>
      </c>
      <c r="BX53" s="44" t="str">
        <f t="shared" si="180"/>
        <v>Compression Controls</v>
      </c>
      <c r="BY53" s="44" t="str">
        <f t="shared" si="181"/>
        <v>Tension Controls</v>
      </c>
      <c r="BZ53" s="43">
        <f t="shared" si="182"/>
        <v>2396.7456090041787</v>
      </c>
      <c r="CA53" s="43">
        <f t="shared" si="183"/>
        <v>958.30998174670947</v>
      </c>
      <c r="CB53" s="43">
        <f t="shared" si="184"/>
        <v>2868.1183999999998</v>
      </c>
      <c r="CC53" s="43">
        <f t="shared" si="169"/>
        <v>584.49270060536514</v>
      </c>
      <c r="CD53" s="51" t="str">
        <f t="shared" si="170"/>
        <v xml:space="preserve">Safe </v>
      </c>
      <c r="CE53" s="1"/>
      <c r="CF53" s="1"/>
      <c r="CG53" s="43">
        <f t="shared" si="171"/>
        <v>308</v>
      </c>
      <c r="CH53" s="43">
        <f t="shared" si="185"/>
        <v>440</v>
      </c>
      <c r="CI53" s="43">
        <f t="shared" si="186"/>
        <v>210.70393374741201</v>
      </c>
      <c r="CJ53" s="52">
        <f t="shared" si="187"/>
        <v>11.295470177852019</v>
      </c>
      <c r="CK53" s="52">
        <f t="shared" si="188"/>
        <v>-5180.0137565097766</v>
      </c>
      <c r="CL53" s="52">
        <f t="shared" si="189"/>
        <v>86751.848363957964</v>
      </c>
      <c r="CM53" s="52">
        <f t="shared" si="190"/>
        <v>-69115200</v>
      </c>
      <c r="CN53" s="52">
        <f t="shared" si="191"/>
        <v>469.95458741387768</v>
      </c>
      <c r="CO53" s="53">
        <f t="shared" si="192"/>
        <v>2396.7456090041787</v>
      </c>
      <c r="CP53" s="1"/>
      <c r="CQ53" s="43">
        <f t="shared" si="193"/>
        <v>140</v>
      </c>
      <c r="CR53" s="43">
        <f t="shared" si="194"/>
        <v>107.21384205856253</v>
      </c>
      <c r="CS53" s="52">
        <f t="shared" si="195"/>
        <v>55.496565422494427</v>
      </c>
      <c r="CT53" s="52">
        <f t="shared" si="196"/>
        <v>-3639.0383182984383</v>
      </c>
      <c r="CU53" s="52">
        <f t="shared" si="197"/>
        <v>215774.49169908132</v>
      </c>
      <c r="CV53" s="52">
        <f t="shared" si="198"/>
        <v>-21991200</v>
      </c>
      <c r="CW53" s="52">
        <f t="shared" si="199"/>
        <v>79.43025459614384</v>
      </c>
      <c r="CX53" s="53">
        <f t="shared" si="200"/>
        <v>975.1878707609153</v>
      </c>
      <c r="CY53" s="1"/>
      <c r="CZ53" s="52">
        <f t="shared" si="201"/>
        <v>2380</v>
      </c>
      <c r="DA53" s="52">
        <f t="shared" si="202"/>
        <v>-1091449.2753623188</v>
      </c>
      <c r="DB53" s="54">
        <f t="shared" si="203"/>
        <v>-47915792.115942031</v>
      </c>
      <c r="DC53" s="54">
        <f t="shared" si="204"/>
        <v>498.94281991728928</v>
      </c>
      <c r="DD53" s="52">
        <f t="shared" si="205"/>
        <v>538.67032698241326</v>
      </c>
      <c r="DE53" s="52">
        <f t="shared" si="206"/>
        <v>-47915792.115942031</v>
      </c>
      <c r="DF53" s="52">
        <f t="shared" si="207"/>
        <v>498.94281991728928</v>
      </c>
      <c r="DG53" s="53">
        <f t="shared" si="208"/>
        <v>2367.6374228062969</v>
      </c>
      <c r="DH53" s="1"/>
      <c r="DI53" s="52">
        <f t="shared" si="209"/>
        <v>5950</v>
      </c>
      <c r="DJ53" s="52">
        <f t="shared" si="210"/>
        <v>-390155.27950310585</v>
      </c>
      <c r="DK53" s="52">
        <f t="shared" si="211"/>
        <v>-10548288.347826086</v>
      </c>
      <c r="DL53" s="52">
        <f t="shared" si="212"/>
        <v>86.150506748708509</v>
      </c>
      <c r="DM53" s="52">
        <f t="shared" si="213"/>
        <v>42.269982064720935</v>
      </c>
      <c r="DN53" s="52">
        <f t="shared" si="214"/>
        <v>-13714369.742877638</v>
      </c>
      <c r="DO53" s="52">
        <f t="shared" si="215"/>
        <v>90.922792207628191</v>
      </c>
      <c r="DP53" s="53">
        <f t="shared" si="216"/>
        <v>958.30998174670947</v>
      </c>
      <c r="DT53" s="41" t="str">
        <f t="shared" si="84"/>
        <v>C165</v>
      </c>
      <c r="DU53" s="55">
        <f t="shared" si="85"/>
        <v>8</v>
      </c>
      <c r="DV53" s="56" t="str">
        <f t="shared" si="86"/>
        <v>φ</v>
      </c>
      <c r="DW53" s="57">
        <f t="shared" si="87"/>
        <v>14</v>
      </c>
    </row>
    <row r="54" spans="1:256" ht="16.5" customHeight="1" thickTop="1" thickBot="1" x14ac:dyDescent="0.3">
      <c r="A54" s="42" t="s">
        <v>145</v>
      </c>
      <c r="B54" s="175" t="s">
        <v>201</v>
      </c>
      <c r="C54" s="93"/>
      <c r="D54" s="43">
        <v>200</v>
      </c>
      <c r="E54" s="43">
        <v>500</v>
      </c>
      <c r="F54" s="42">
        <v>2900</v>
      </c>
      <c r="G54" s="94">
        <v>250.6</v>
      </c>
      <c r="H54" s="94">
        <v>74.2</v>
      </c>
      <c r="I54" s="94">
        <v>-60.45</v>
      </c>
      <c r="J54" s="94">
        <v>-9.9</v>
      </c>
      <c r="K54" s="94">
        <v>10.1</v>
      </c>
      <c r="L54" s="43">
        <f t="shared" si="138"/>
        <v>17.399999999999999</v>
      </c>
      <c r="M54" s="43">
        <f t="shared" si="139"/>
        <v>43.776280323450138</v>
      </c>
      <c r="N54" s="44" t="str">
        <f t="shared" si="140"/>
        <v>sho.col</v>
      </c>
      <c r="P54" s="46">
        <f t="shared" si="141"/>
        <v>74.2</v>
      </c>
      <c r="Q54" s="46">
        <f t="shared" si="142"/>
        <v>60.45</v>
      </c>
      <c r="R54" s="46">
        <f t="shared" si="143"/>
        <v>9.9</v>
      </c>
      <c r="S54" s="46">
        <f t="shared" si="144"/>
        <v>10.1</v>
      </c>
      <c r="U54" s="302"/>
      <c r="V54" s="301"/>
      <c r="W54" s="15" t="s">
        <v>99</v>
      </c>
      <c r="X54" s="43">
        <f>(X51*X52^3/12)/X53</f>
        <v>4102564.1025641025</v>
      </c>
      <c r="Y54" s="43">
        <f>(Y51*Y52^3/12)/Y53</f>
        <v>2071197.4110032362</v>
      </c>
      <c r="Z54" s="295"/>
      <c r="AA54" s="295"/>
      <c r="AB54" s="295"/>
      <c r="AC54" s="295"/>
      <c r="AD54" s="294"/>
      <c r="AE54" s="294"/>
      <c r="AJ54" s="306" t="str">
        <f t="shared" si="145"/>
        <v>C166</v>
      </c>
      <c r="AK54" s="307"/>
      <c r="AL54" s="43">
        <v>200</v>
      </c>
      <c r="AM54" s="43">
        <v>500</v>
      </c>
      <c r="AN54" s="43">
        <f t="shared" si="146"/>
        <v>440</v>
      </c>
      <c r="AO54" s="43">
        <f t="shared" si="147"/>
        <v>250.6</v>
      </c>
      <c r="AP54" s="43">
        <f t="shared" si="148"/>
        <v>74.2</v>
      </c>
      <c r="AQ54" s="43">
        <f t="shared" si="149"/>
        <v>9.9</v>
      </c>
      <c r="AR54" s="43">
        <f t="shared" si="150"/>
        <v>87.526923076923083</v>
      </c>
      <c r="AS54" s="43">
        <f t="shared" si="151"/>
        <v>25.881538461538462</v>
      </c>
      <c r="AT54" s="43">
        <f t="shared" si="152"/>
        <v>87.526923076923083</v>
      </c>
      <c r="AU54" s="43">
        <f t="shared" si="153"/>
        <v>0.34926944563816076</v>
      </c>
      <c r="AV54" s="44" t="str">
        <f t="shared" si="154"/>
        <v>Compression</v>
      </c>
      <c r="AW54" s="43">
        <f t="shared" si="155"/>
        <v>1000</v>
      </c>
      <c r="AX54" s="43">
        <f t="shared" si="156"/>
        <v>250</v>
      </c>
      <c r="AY54" s="43">
        <f t="shared" si="157"/>
        <v>0.01</v>
      </c>
      <c r="AZ54" s="47">
        <f t="shared" si="158"/>
        <v>8</v>
      </c>
      <c r="BA54" s="48" t="s">
        <v>65</v>
      </c>
      <c r="BB54" s="49">
        <v>14</v>
      </c>
      <c r="BC54" s="94">
        <v>40.799999999999997</v>
      </c>
      <c r="BD54" s="43">
        <f t="shared" si="159"/>
        <v>61.734197258173779</v>
      </c>
      <c r="BE54" s="43">
        <f t="shared" si="217"/>
        <v>-61.734197258173786</v>
      </c>
      <c r="BF54" s="43">
        <f t="shared" si="160"/>
        <v>100</v>
      </c>
      <c r="BG54" s="43">
        <f t="shared" si="161"/>
        <v>500</v>
      </c>
      <c r="BH54" s="44" t="str">
        <f t="shared" si="218"/>
        <v>No Need Shear Reinf.</v>
      </c>
      <c r="BI54" s="50" t="str">
        <f t="shared" si="162"/>
        <v>Use Φ10@100mm</v>
      </c>
      <c r="BJ54" s="43">
        <f t="shared" si="163"/>
        <v>200</v>
      </c>
      <c r="BK54" s="43">
        <f t="shared" si="164"/>
        <v>500</v>
      </c>
      <c r="BL54" s="43">
        <f t="shared" si="165"/>
        <v>220</v>
      </c>
      <c r="BM54" s="43">
        <f t="shared" si="172"/>
        <v>70</v>
      </c>
      <c r="BN54" s="43">
        <f t="shared" si="173"/>
        <v>460.90909090909082</v>
      </c>
      <c r="BO54" s="43">
        <f t="shared" si="174"/>
        <v>162.85714285714292</v>
      </c>
      <c r="BP54" s="43">
        <f t="shared" si="175"/>
        <v>1039.8696</v>
      </c>
      <c r="BQ54" s="43">
        <f t="shared" si="176"/>
        <v>746.46960000000001</v>
      </c>
      <c r="BR54" s="43">
        <f t="shared" si="166"/>
        <v>194.37202400000001</v>
      </c>
      <c r="BS54" s="43">
        <f t="shared" si="177"/>
        <v>34.023783999999999</v>
      </c>
      <c r="BT54" s="43">
        <f t="shared" si="178"/>
        <v>0.18691961376695695</v>
      </c>
      <c r="BU54" s="43">
        <f t="shared" si="179"/>
        <v>4.5579597615227729E-2</v>
      </c>
      <c r="BV54" s="43">
        <f t="shared" si="167"/>
        <v>0.29608938547486036</v>
      </c>
      <c r="BW54" s="43">
        <f t="shared" si="168"/>
        <v>3.9505187549880291E-2</v>
      </c>
      <c r="BX54" s="44" t="str">
        <f t="shared" si="180"/>
        <v>Tension Controls</v>
      </c>
      <c r="BY54" s="44" t="str">
        <f t="shared" si="181"/>
        <v>Compression Controls</v>
      </c>
      <c r="BZ54" s="43">
        <f t="shared" si="182"/>
        <v>486.32173592360363</v>
      </c>
      <c r="CA54" s="43">
        <f t="shared" si="183"/>
        <v>1561.9469318907024</v>
      </c>
      <c r="CB54" s="43">
        <f t="shared" si="184"/>
        <v>2868.1183999999998</v>
      </c>
      <c r="CC54" s="43">
        <f t="shared" si="169"/>
        <v>276.85281852120534</v>
      </c>
      <c r="CD54" s="51" t="str">
        <f t="shared" si="170"/>
        <v xml:space="preserve">Safe </v>
      </c>
      <c r="CE54" s="1"/>
      <c r="CF54" s="1"/>
      <c r="CG54" s="43">
        <f t="shared" si="171"/>
        <v>308</v>
      </c>
      <c r="CH54" s="43">
        <f t="shared" si="185"/>
        <v>440</v>
      </c>
      <c r="CI54" s="43">
        <f t="shared" si="186"/>
        <v>486.08938547486036</v>
      </c>
      <c r="CJ54" s="52">
        <f t="shared" si="187"/>
        <v>4.8962188254223653</v>
      </c>
      <c r="CK54" s="52">
        <f t="shared" si="188"/>
        <v>451.32743362831883</v>
      </c>
      <c r="CL54" s="52">
        <f t="shared" si="189"/>
        <v>211433.05486725664</v>
      </c>
      <c r="CM54" s="52">
        <f t="shared" si="190"/>
        <v>-69115200</v>
      </c>
      <c r="CN54" s="52">
        <f t="shared" si="191"/>
        <v>164.93017683897494</v>
      </c>
      <c r="CO54" s="53">
        <f t="shared" si="192"/>
        <v>672.83990898003594</v>
      </c>
      <c r="CP54" s="1"/>
      <c r="CQ54" s="43">
        <f t="shared" si="193"/>
        <v>140</v>
      </c>
      <c r="CR54" s="43">
        <f t="shared" si="194"/>
        <v>79.505187549880304</v>
      </c>
      <c r="CS54" s="52">
        <f t="shared" si="195"/>
        <v>74.837883959044348</v>
      </c>
      <c r="CT54" s="52">
        <f t="shared" si="196"/>
        <v>-9054.6075085324192</v>
      </c>
      <c r="CU54" s="52">
        <f t="shared" si="197"/>
        <v>184040.53049588439</v>
      </c>
      <c r="CV54" s="52">
        <f t="shared" si="198"/>
        <v>-21991200</v>
      </c>
      <c r="CW54" s="52">
        <f t="shared" si="199"/>
        <v>120.77342421765562</v>
      </c>
      <c r="CX54" s="53">
        <f t="shared" si="200"/>
        <v>1561.9469318907024</v>
      </c>
      <c r="CY54" s="1"/>
      <c r="CZ54" s="52">
        <f t="shared" si="201"/>
        <v>2380</v>
      </c>
      <c r="DA54" s="52">
        <f t="shared" si="202"/>
        <v>219385.47486033532</v>
      </c>
      <c r="DB54" s="54">
        <f t="shared" si="203"/>
        <v>-49934477.631284915</v>
      </c>
      <c r="DC54" s="54">
        <f t="shared" si="204"/>
        <v>105.91424740202737</v>
      </c>
      <c r="DD54" s="52">
        <f t="shared" si="205"/>
        <v>311.08702794394526</v>
      </c>
      <c r="DE54" s="52">
        <f t="shared" si="206"/>
        <v>-53493266.7961905</v>
      </c>
      <c r="DF54" s="52">
        <f t="shared" si="207"/>
        <v>110.75574187329171</v>
      </c>
      <c r="DG54" s="53">
        <f t="shared" si="208"/>
        <v>486.32173592360363</v>
      </c>
      <c r="DH54" s="1"/>
      <c r="DI54" s="52">
        <f t="shared" si="209"/>
        <v>5950</v>
      </c>
      <c r="DJ54" s="52">
        <f t="shared" si="210"/>
        <v>-719888.2681564244</v>
      </c>
      <c r="DK54" s="52">
        <f t="shared" si="211"/>
        <v>-10345172.826815642</v>
      </c>
      <c r="DL54" s="52">
        <f t="shared" si="212"/>
        <v>133.96798335000443</v>
      </c>
      <c r="DM54" s="52">
        <f t="shared" si="213"/>
        <v>470.01032657151069</v>
      </c>
      <c r="DN54" s="52">
        <f t="shared" si="214"/>
        <v>-10345172.826815642</v>
      </c>
      <c r="DO54" s="52">
        <f t="shared" si="215"/>
        <v>133.96798335000443</v>
      </c>
      <c r="DP54" s="53">
        <f t="shared" si="216"/>
        <v>1586.888601865053</v>
      </c>
      <c r="DT54" s="41" t="str">
        <f t="shared" si="84"/>
        <v>C166</v>
      </c>
      <c r="DU54" s="55">
        <f t="shared" si="85"/>
        <v>8</v>
      </c>
      <c r="DV54" s="56" t="str">
        <f t="shared" si="86"/>
        <v>φ</v>
      </c>
      <c r="DW54" s="57">
        <f t="shared" si="87"/>
        <v>14</v>
      </c>
    </row>
    <row r="55" spans="1:256" ht="16.5" customHeight="1" thickTop="1" thickBot="1" x14ac:dyDescent="0.3">
      <c r="A55" s="42" t="s">
        <v>145</v>
      </c>
      <c r="B55" s="175" t="s">
        <v>202</v>
      </c>
      <c r="C55" s="93"/>
      <c r="D55" s="43">
        <v>300</v>
      </c>
      <c r="E55" s="43">
        <v>500</v>
      </c>
      <c r="F55" s="42">
        <v>2900</v>
      </c>
      <c r="G55" s="94">
        <v>241.39</v>
      </c>
      <c r="H55" s="94">
        <v>-9.9700000000000006</v>
      </c>
      <c r="I55" s="94">
        <v>19.97</v>
      </c>
      <c r="J55" s="94">
        <v>0</v>
      </c>
      <c r="K55" s="94">
        <v>2.62</v>
      </c>
      <c r="L55" s="43">
        <f t="shared" si="138"/>
        <v>17.399999999999999</v>
      </c>
      <c r="M55" s="43">
        <f t="shared" si="139"/>
        <v>39.990986479719581</v>
      </c>
      <c r="N55" s="44" t="str">
        <f t="shared" si="140"/>
        <v>sho.col</v>
      </c>
      <c r="P55" s="46">
        <f t="shared" si="141"/>
        <v>9.9700000000000006</v>
      </c>
      <c r="Q55" s="46">
        <f t="shared" si="142"/>
        <v>19.97</v>
      </c>
      <c r="R55" s="46">
        <f t="shared" si="143"/>
        <v>0</v>
      </c>
      <c r="S55" s="46">
        <f t="shared" si="144"/>
        <v>2.62</v>
      </c>
      <c r="U55" s="288" t="s">
        <v>14</v>
      </c>
      <c r="V55" s="300" t="s">
        <v>100</v>
      </c>
      <c r="W55" s="15" t="s">
        <v>86</v>
      </c>
      <c r="X55" s="43">
        <v>500</v>
      </c>
      <c r="Y55" s="43">
        <v>500</v>
      </c>
      <c r="Z55" s="292">
        <v>1200</v>
      </c>
      <c r="AA55" s="292">
        <v>1200</v>
      </c>
      <c r="AB55" s="292">
        <v>4350</v>
      </c>
      <c r="AC55" s="292">
        <f>(Z55*AA55^3/12)/AB55</f>
        <v>39724137.931034483</v>
      </c>
      <c r="AD55" s="292">
        <f>(0.7*(AC55+AC57))/(0.35*(X58+Y58))</f>
        <v>13.290510549916576</v>
      </c>
      <c r="AE55" s="292">
        <f>MIN(MIN(1,(0.7+0.05*(AD55+AD59))),MIN(1,(0.85+0.05*MIN(AD55,AD59))))</f>
        <v>0.9</v>
      </c>
      <c r="AJ55" s="306" t="str">
        <f t="shared" si="145"/>
        <v>C167</v>
      </c>
      <c r="AK55" s="307"/>
      <c r="AL55" s="43">
        <v>300</v>
      </c>
      <c r="AM55" s="43">
        <v>500</v>
      </c>
      <c r="AN55" s="43">
        <f t="shared" si="146"/>
        <v>440</v>
      </c>
      <c r="AO55" s="43">
        <f t="shared" si="147"/>
        <v>241.39</v>
      </c>
      <c r="AP55" s="43">
        <f t="shared" si="148"/>
        <v>9.9700000000000006</v>
      </c>
      <c r="AQ55" s="43">
        <f t="shared" si="149"/>
        <v>0</v>
      </c>
      <c r="AR55" s="43">
        <f t="shared" si="150"/>
        <v>9.9700000000000006</v>
      </c>
      <c r="AS55" s="43">
        <f t="shared" si="151"/>
        <v>3.2210769230769229</v>
      </c>
      <c r="AT55" s="43">
        <f t="shared" si="152"/>
        <v>9.9700000000000006</v>
      </c>
      <c r="AU55" s="43">
        <f t="shared" si="153"/>
        <v>4.1302456605493192E-2</v>
      </c>
      <c r="AV55" s="44" t="str">
        <f t="shared" si="154"/>
        <v>Compression</v>
      </c>
      <c r="AW55" s="43">
        <f t="shared" si="155"/>
        <v>1500</v>
      </c>
      <c r="AX55" s="43">
        <f t="shared" si="156"/>
        <v>375</v>
      </c>
      <c r="AY55" s="43">
        <f t="shared" si="157"/>
        <v>0.01</v>
      </c>
      <c r="AZ55" s="47">
        <f t="shared" si="158"/>
        <v>10</v>
      </c>
      <c r="BA55" s="48" t="s">
        <v>65</v>
      </c>
      <c r="BB55" s="49">
        <v>14</v>
      </c>
      <c r="BC55" s="94">
        <v>9.07</v>
      </c>
      <c r="BD55" s="43">
        <f t="shared" si="159"/>
        <v>105.83005244258362</v>
      </c>
      <c r="BE55" s="43">
        <f t="shared" si="217"/>
        <v>-105.83005244258362</v>
      </c>
      <c r="BF55" s="43">
        <f t="shared" si="160"/>
        <v>110</v>
      </c>
      <c r="BG55" s="43">
        <f t="shared" si="161"/>
        <v>500</v>
      </c>
      <c r="BH55" s="44" t="str">
        <f t="shared" si="218"/>
        <v>No Need Shear Reinf.</v>
      </c>
      <c r="BI55" s="50" t="str">
        <f t="shared" si="162"/>
        <v>Use Φ10@110mm</v>
      </c>
      <c r="BJ55" s="43">
        <f t="shared" si="163"/>
        <v>300</v>
      </c>
      <c r="BK55" s="43">
        <f t="shared" si="164"/>
        <v>500</v>
      </c>
      <c r="BL55" s="43">
        <f t="shared" si="165"/>
        <v>220</v>
      </c>
      <c r="BM55" s="43">
        <f t="shared" si="172"/>
        <v>120</v>
      </c>
      <c r="BN55" s="43">
        <f t="shared" si="173"/>
        <v>460.90909090909082</v>
      </c>
      <c r="BO55" s="43">
        <f t="shared" si="174"/>
        <v>345.00000000000006</v>
      </c>
      <c r="BP55" s="43">
        <f t="shared" si="175"/>
        <v>1561.6369999999999</v>
      </c>
      <c r="BQ55" s="43">
        <f t="shared" si="176"/>
        <v>1389.962</v>
      </c>
      <c r="BR55" s="43">
        <f t="shared" si="166"/>
        <v>279.61703</v>
      </c>
      <c r="BS55" s="43">
        <f t="shared" si="177"/>
        <v>167.93657999999999</v>
      </c>
      <c r="BT55" s="43">
        <f t="shared" si="178"/>
        <v>0.17905379419160791</v>
      </c>
      <c r="BU55" s="43">
        <f t="shared" si="179"/>
        <v>0.12082098647301148</v>
      </c>
      <c r="BV55" s="43">
        <f t="shared" si="167"/>
        <v>4.1302456605493192E-2</v>
      </c>
      <c r="BW55" s="43">
        <f t="shared" si="168"/>
        <v>0</v>
      </c>
      <c r="BX55" s="44" t="str">
        <f t="shared" si="180"/>
        <v>Compression Controls</v>
      </c>
      <c r="BY55" s="44" t="str">
        <f t="shared" si="181"/>
        <v>Compression Controls</v>
      </c>
      <c r="BZ55" s="43">
        <f t="shared" si="182"/>
        <v>3236.4049661642416</v>
      </c>
      <c r="CA55" s="43">
        <f t="shared" si="183"/>
        <v>3843.8387769030451</v>
      </c>
      <c r="CB55" s="43">
        <f t="shared" si="184"/>
        <v>4180.1480000000001</v>
      </c>
      <c r="CC55" s="43">
        <f t="shared" si="169"/>
        <v>2173.6769600000002</v>
      </c>
      <c r="CD55" s="51" t="str">
        <f t="shared" si="170"/>
        <v xml:space="preserve">Safe </v>
      </c>
      <c r="CE55" s="1"/>
      <c r="CF55" s="1"/>
      <c r="CG55" s="43">
        <f t="shared" si="171"/>
        <v>385</v>
      </c>
      <c r="CH55" s="43">
        <f t="shared" si="185"/>
        <v>440</v>
      </c>
      <c r="CI55" s="43">
        <f t="shared" si="186"/>
        <v>231.30245660549321</v>
      </c>
      <c r="CJ55" s="52">
        <f t="shared" si="187"/>
        <v>15.434336722540525</v>
      </c>
      <c r="CK55" s="52">
        <f t="shared" si="188"/>
        <v>-6442.2163158356616</v>
      </c>
      <c r="CL55" s="52">
        <f t="shared" si="189"/>
        <v>132938.4510236576</v>
      </c>
      <c r="CM55" s="52">
        <f t="shared" si="190"/>
        <v>-86394000</v>
      </c>
      <c r="CN55" s="52">
        <f t="shared" si="191"/>
        <v>427.84275808045106</v>
      </c>
      <c r="CO55" s="53">
        <f t="shared" si="192"/>
        <v>3236.4049661642416</v>
      </c>
      <c r="CP55" s="1"/>
      <c r="CQ55" s="43">
        <f t="shared" si="193"/>
        <v>240</v>
      </c>
      <c r="CR55" s="43">
        <f t="shared" si="194"/>
        <v>90</v>
      </c>
      <c r="CS55" s="52">
        <f t="shared" si="195"/>
        <v>66.111111111111114</v>
      </c>
      <c r="CT55" s="52">
        <f t="shared" si="196"/>
        <v>-19833.333333333332</v>
      </c>
      <c r="CU55" s="52">
        <f t="shared" si="197"/>
        <v>78463</v>
      </c>
      <c r="CV55" s="52">
        <f t="shared" si="198"/>
        <v>-47124000</v>
      </c>
      <c r="CW55" s="52">
        <f t="shared" si="199"/>
        <v>303.81587231598206</v>
      </c>
      <c r="CX55" s="53">
        <f t="shared" si="200"/>
        <v>3843.8387769030451</v>
      </c>
      <c r="CY55" s="1"/>
      <c r="CZ55" s="52">
        <f t="shared" si="201"/>
        <v>3570</v>
      </c>
      <c r="DA55" s="52">
        <f t="shared" si="202"/>
        <v>-1490100.4598367785</v>
      </c>
      <c r="DB55" s="54">
        <f t="shared" si="203"/>
        <v>-60083484.409876138</v>
      </c>
      <c r="DC55" s="54">
        <f t="shared" si="204"/>
        <v>454.43067566758572</v>
      </c>
      <c r="DD55" s="52">
        <f t="shared" si="205"/>
        <v>532.66299649545715</v>
      </c>
      <c r="DE55" s="52">
        <f t="shared" si="206"/>
        <v>-60083484.409876138</v>
      </c>
      <c r="DF55" s="52">
        <f t="shared" si="207"/>
        <v>454.43067566758572</v>
      </c>
      <c r="DG55" s="53">
        <f t="shared" si="208"/>
        <v>3235.4720242665621</v>
      </c>
      <c r="DH55" s="1"/>
      <c r="DI55" s="52">
        <f t="shared" si="209"/>
        <v>5950</v>
      </c>
      <c r="DJ55" s="52">
        <f t="shared" si="210"/>
        <v>-1785000</v>
      </c>
      <c r="DK55" s="52">
        <f t="shared" si="211"/>
        <v>-28281330</v>
      </c>
      <c r="DL55" s="52">
        <f t="shared" si="212"/>
        <v>315.08532553162428</v>
      </c>
      <c r="DM55" s="52">
        <f t="shared" si="213"/>
        <v>348.68067629061426</v>
      </c>
      <c r="DN55" s="52">
        <f t="shared" si="214"/>
        <v>-25810115.433469784</v>
      </c>
      <c r="DO55" s="52">
        <f t="shared" si="215"/>
        <v>313.82257026012496</v>
      </c>
      <c r="DP55" s="53">
        <f t="shared" si="216"/>
        <v>3697.8676464673736</v>
      </c>
      <c r="DT55" s="41" t="str">
        <f t="shared" si="84"/>
        <v>C167</v>
      </c>
      <c r="DU55" s="55">
        <f t="shared" si="85"/>
        <v>10</v>
      </c>
      <c r="DV55" s="56" t="str">
        <f t="shared" si="86"/>
        <v>φ</v>
      </c>
      <c r="DW55" s="57">
        <f t="shared" si="87"/>
        <v>14</v>
      </c>
    </row>
    <row r="56" spans="1:256" s="118" customFormat="1" ht="16.5" customHeight="1" thickTop="1" thickBot="1" x14ac:dyDescent="0.3">
      <c r="A56" s="96" t="s">
        <v>147</v>
      </c>
      <c r="B56" s="175" t="s">
        <v>203</v>
      </c>
      <c r="C56" s="171"/>
      <c r="D56" s="43">
        <v>200</v>
      </c>
      <c r="E56" s="43">
        <v>400</v>
      </c>
      <c r="F56" s="96">
        <v>2300</v>
      </c>
      <c r="G56" s="94">
        <v>43.44</v>
      </c>
      <c r="H56" s="94">
        <v>5.64</v>
      </c>
      <c r="I56" s="94">
        <v>-1.29</v>
      </c>
      <c r="J56" s="94">
        <v>-4.5</v>
      </c>
      <c r="K56" s="94">
        <v>4.3600000000000003</v>
      </c>
      <c r="L56" s="99">
        <f t="shared" ref="L56:L59" si="219">(0.9*F56)/(0.3*E56)</f>
        <v>17.25</v>
      </c>
      <c r="M56" s="99">
        <f t="shared" ref="M56:M59" si="220">IF(P56&gt;Q56,(34-12*I56/H56),(34-12*H56/I56))</f>
        <v>36.744680851063833</v>
      </c>
      <c r="N56" s="99" t="str">
        <f t="shared" ref="N56:N59" si="221">IF(L56&lt;=M56,"sho.col","long.col")</f>
        <v>sho.col</v>
      </c>
      <c r="O56" s="102"/>
      <c r="P56" s="101">
        <f t="shared" si="141"/>
        <v>5.64</v>
      </c>
      <c r="Q56" s="101">
        <f t="shared" si="142"/>
        <v>1.29</v>
      </c>
      <c r="R56" s="101">
        <f t="shared" si="143"/>
        <v>4.5</v>
      </c>
      <c r="S56" s="101">
        <f t="shared" si="144"/>
        <v>4.3600000000000003</v>
      </c>
      <c r="T56" s="102"/>
      <c r="U56" s="303"/>
      <c r="V56" s="304"/>
      <c r="W56" s="103" t="s">
        <v>97</v>
      </c>
      <c r="X56" s="99">
        <v>800</v>
      </c>
      <c r="Y56" s="99">
        <v>800</v>
      </c>
      <c r="Z56" s="305"/>
      <c r="AA56" s="305"/>
      <c r="AB56" s="305"/>
      <c r="AC56" s="305"/>
      <c r="AD56" s="303"/>
      <c r="AE56" s="303"/>
      <c r="AF56" s="102"/>
      <c r="AG56" s="102"/>
      <c r="AH56" s="102"/>
      <c r="AI56" s="102"/>
      <c r="AJ56" s="119" t="str">
        <f t="shared" ref="AJ56:AJ59" si="222">B56</f>
        <v>C374</v>
      </c>
      <c r="AK56" s="120"/>
      <c r="AL56" s="43">
        <v>200</v>
      </c>
      <c r="AM56" s="43">
        <v>400</v>
      </c>
      <c r="AN56" s="99">
        <f t="shared" ref="AN56:AN59" si="223">AM56-60</f>
        <v>340</v>
      </c>
      <c r="AO56" s="99">
        <f t="shared" ref="AO56:AO59" si="224">G56</f>
        <v>43.44</v>
      </c>
      <c r="AP56" s="99">
        <f t="shared" ref="AP56:AP59" si="225">P56</f>
        <v>5.64</v>
      </c>
      <c r="AQ56" s="99">
        <f t="shared" ref="AQ56:AQ59" si="226">R56</f>
        <v>4.5</v>
      </c>
      <c r="AR56" s="99">
        <f t="shared" ref="AR56:AR59" si="227">AP56+(AQ56*AM56/AL56*((1-AS$2)/AS$2))</f>
        <v>10.486153846153845</v>
      </c>
      <c r="AS56" s="99">
        <f t="shared" ref="AS56:AS59" si="228">AQ56+(AP56*AL56/AM56*((1-AS$2)/AS$2))</f>
        <v>6.0184615384615388</v>
      </c>
      <c r="AT56" s="99">
        <f t="shared" ref="AT56:AT59" si="229">MAX(AR56:AS56)</f>
        <v>10.486153846153845</v>
      </c>
      <c r="AU56" s="99">
        <f t="shared" ref="AU56:AU59" si="230">AT56/AO56</f>
        <v>0.24139396515087122</v>
      </c>
      <c r="AV56" s="99" t="str">
        <f t="shared" ref="AV56:AV59" si="231">IF(AU56&lt;=1,"Compression","Tention")</f>
        <v>Compression</v>
      </c>
      <c r="AW56" s="99">
        <f t="shared" ref="AW56:AW59" si="232">IF(MAX(AP56*1000/AO56,AQ56*1000/AO56)&gt;0.1*AM56,IF(IF(AV56="Compression",2*(0.5+AU56*10^3/(AN56-BD$2))*(-AL56*AM$2*AM56/(1.18+3*AU56*10^3*AM56/AN56^2)+AO56*10^3/AU$2)/AO$2,2*AO56*1000*(AU56*1000-0.5*AM56+0.2*AN56)/(AU$2*fy*(AN56-BD$2)))&lt;0.01*AL56*AM56,(0.01*AL56*AM56),IF(AV56="Compression",2*(0.5+AU56*10^3/(AN56-60))*(-AL56*AM$2*AM56/(1.18+3*AU56*10^3*AM56/AN56^2)+AO56*10^3/AU$2)/AO$2,2*AO56*1000*(AU56*1000-0.5*AM56+0.2*AN56)/(AU$2*fy*(AN56-BD$2)))),MAX((AO56*1000/(0.8*AU$2)-0.85*fc*AL56*AM56)/(fy-0.85*fc),0.01*AL56*AM56))</f>
        <v>800</v>
      </c>
      <c r="AX56" s="99">
        <f t="shared" ref="AX56:AX59" si="233">AW56/4</f>
        <v>200</v>
      </c>
      <c r="AY56" s="99">
        <f t="shared" ref="AY56:AY59" si="234">AW56/(AL56*AM56)</f>
        <v>0.01</v>
      </c>
      <c r="AZ56" s="114">
        <f t="shared" ref="AZ56:AZ59" si="235">EVEN(AW56/(PI()*BB56^2/4))</f>
        <v>6</v>
      </c>
      <c r="BA56" s="115" t="s">
        <v>65</v>
      </c>
      <c r="BB56" s="121">
        <v>14</v>
      </c>
      <c r="BC56" s="94">
        <v>3.28</v>
      </c>
      <c r="BD56" s="99">
        <f t="shared" ref="BD56:BD59" si="236">MIN(fc^0.5*AL56*AN56/(6*1000),fc^0.5*(AL56-60)*AM56/(6*1000))</f>
        <v>49.387357806539029</v>
      </c>
      <c r="BE56" s="99">
        <f t="shared" ref="BE56:BE59" si="237">(BC68-BF$2*BD56)/BF$2</f>
        <v>-49.387357806539029</v>
      </c>
      <c r="BF56" s="99">
        <f t="shared" ref="BF56:BF59" si="238">FLOOR(MIN(AL56/2,MIN((3*AZ$2*BI$2/AM56),(16*AZ$2*BI$2/(fc^0.5*AM56))),(8*BB56),(24*AX$2),300),10)</f>
        <v>100</v>
      </c>
      <c r="BG56" s="99">
        <f t="shared" ref="BG56:BG59" si="239">MAX(MAX(AL56,AM56),(F56/6),450)</f>
        <v>450</v>
      </c>
      <c r="BH56" s="99" t="str">
        <f t="shared" ref="BH56:BH59" si="240">IF(BC68&lt;0.5*BD56*BF$2,"No Need Shear Reinf.",IF(BC68&lt;=BD56*BF$2,BF56,IF(BE56&gt;4*BD56,"Increase b &amp; d",FLOOR(AZ$2*BI$2*AN56/(BE56*1000),50))))</f>
        <v>No Need Shear Reinf.</v>
      </c>
      <c r="BI56" s="116" t="str">
        <f t="shared" ref="BI56:BI59" si="241">IF(BH56="No Need Shear Reinf.","Use Φ"&amp;AX$2&amp;"@"&amp;MIN(BF56,BH56)&amp;"mm",IF(BH56="Increase b &amp; d","Increase b &amp; d","Use Φ"&amp;AX$2&amp;"@"&amp;MIN(BF56,BH56)&amp;"mm"))</f>
        <v>Use Φ10@100mm</v>
      </c>
      <c r="BJ56" s="99">
        <f t="shared" ref="BJ56:BJ59" si="242">AL56</f>
        <v>200</v>
      </c>
      <c r="BK56" s="99">
        <f t="shared" ref="BK56:BK59" si="243">AM56</f>
        <v>400</v>
      </c>
      <c r="BL56" s="99">
        <f t="shared" ref="BL56:BL59" si="244">0.85*(600*AN56)/(600+fy)</f>
        <v>170</v>
      </c>
      <c r="BM56" s="99">
        <f t="shared" ref="BM56:BM59" si="245">0.85*(600*(BJ56-60))/(600+fy)</f>
        <v>70</v>
      </c>
      <c r="BN56" s="99">
        <f t="shared" ref="BN56:BN59" si="246">600*(BL56/0.85-60)*0.85/BL56</f>
        <v>420</v>
      </c>
      <c r="BO56" s="99">
        <f t="shared" ref="BO56:BO59" si="247">600*(BM56/0.85-60)*0.85/BM56</f>
        <v>162.85714285714292</v>
      </c>
      <c r="BP56" s="99">
        <f t="shared" ref="BP56:BP59" si="248">IF(BN56&gt;fy,(0.85*fc*BL56*BJ56+CG56*(fy-0.85*fc)-CG56*fy),(0.85*fc*BL56*BJ56+CG56*(BN56-0.85*fc)-CG56*fy))/1000</f>
        <v>803.70219999999995</v>
      </c>
      <c r="BQ56" s="99">
        <f t="shared" ref="BQ56:BQ59" si="249">IF(BO56&gt;fy,(0.85*fc*BM56*BK56+CG56*(fy-0.85*fc)-CG56*fy),(0.85*fc*BM56*BK56+CG56*(BO56-0.85*fc)-CG56*fy))/1000</f>
        <v>601.5021999999999</v>
      </c>
      <c r="BR56" s="99">
        <f t="shared" ref="BR56:BR59" si="250">IF(BN56&gt;fy,(0.85*fc*BL56*BJ56*(BK56/2-BL56/2)+CG56*(fy-0.85*fc)*(BK56/2-60)+CG56*fy*(BK56/2-60)),(0.85*fc*BL56*BJ56*(AN56-BL56/2-60)+CG56*(BN56-0.85*fc)*(BK56/2-60)+CG56*fy*(BK56/2-60)))/1000000</f>
        <v>184.189908</v>
      </c>
      <c r="BS56" s="99">
        <f t="shared" ref="BS56:BS59" si="251">IF(BO56&gt;fy,(0.85*fc*BM56*BK56*((BJ56-60)-BM56/2-60)+CG56*(fy-0.85*AM$2)*(BJ56/2-60)-CG56*fy*(BJ56/2-60)),(0.85*fc*BM56*BK56*((BJ56-60)-BM56/2-60)+CG56*(BO56-0.85*fc)*(BJ56/2-60)-CG56*fy*(BJ56/2-60)))/1000000</f>
        <v>27.392088000000001</v>
      </c>
      <c r="BT56" s="99">
        <f t="shared" ref="BT56:BT59" si="252">BR56/BP56</f>
        <v>0.22917681200822893</v>
      </c>
      <c r="BU56" s="99">
        <f t="shared" ref="BU56:BU59" si="253">BS56/BQ56</f>
        <v>4.5539464361061363E-2</v>
      </c>
      <c r="BV56" s="99">
        <f t="shared" ref="BV56:BV59" si="254">AP56/AO56</f>
        <v>0.12983425414364641</v>
      </c>
      <c r="BW56" s="99">
        <f t="shared" ref="BW56:BW59" si="255">AQ56/AO56</f>
        <v>0.10359116022099447</v>
      </c>
      <c r="BX56" s="99" t="str">
        <f t="shared" ref="BX56:BX59" si="256">IF(BT56&gt;BV56,"Compression Controls","Tension Controls")</f>
        <v>Compression Controls</v>
      </c>
      <c r="BY56" s="99" t="str">
        <f t="shared" ref="BY56:BY59" si="257">IF(BU56&gt;BW56,"Compression Controls","Tension Controls")</f>
        <v>Tension Controls</v>
      </c>
      <c r="BZ56" s="99">
        <f t="shared" ref="BZ56:BZ59" si="258">IF(BX56="Compression Controls",CO56,DG56)</f>
        <v>909.85689610864506</v>
      </c>
      <c r="CA56" s="99">
        <f t="shared" ref="CA56:CA59" si="259">IF(BY56="Compression Controls",CX56,DP56)</f>
        <v>387.21428056121454</v>
      </c>
      <c r="CB56" s="99">
        <f t="shared" ref="CB56:CB59" si="260">(0.85*fc*BJ56*BK56+CG56*4*(fy-0.85*fc))/1000</f>
        <v>2270.0888</v>
      </c>
      <c r="CC56" s="99">
        <f t="shared" ref="CC56:CC59" si="261">IF(MAX(AP56*1000/AO56,AQ56*1000/AO56)&gt;0.1*AM56,AU$2/(1/BZ56+1/CA56-1/CB56),AU$2*0.8*CB56)</f>
        <v>200.54845909387501</v>
      </c>
      <c r="CD56" s="117" t="str">
        <f t="shared" ref="CD56:CD59" si="262">IF(CC56&gt;=AO56,"Safe ","Unsafe")</f>
        <v xml:space="preserve">Safe </v>
      </c>
      <c r="CE56" s="102"/>
      <c r="CF56" s="102"/>
      <c r="CG56" s="99">
        <f t="shared" ref="CG56:CG59" si="263">(AZ56*0.25*22/7*BB56^2)/4</f>
        <v>231</v>
      </c>
      <c r="CH56" s="99">
        <f t="shared" ref="CH56:CH59" si="264">BK56-60</f>
        <v>340</v>
      </c>
      <c r="CI56" s="99">
        <f t="shared" ref="CI56:CI59" si="265">BV56*1000+BK56/2-60</f>
        <v>269.83425414364638</v>
      </c>
      <c r="CJ56" s="99">
        <f t="shared" ref="CJ56:CJ59" si="266">0.85*fc*BJ56/(2*CI56)</f>
        <v>8.8202293202293216</v>
      </c>
      <c r="CK56" s="99">
        <f t="shared" ref="CK56:CK59" si="267">0.85*fc*BJ56*(1-CH56/CI56)</f>
        <v>-1237.755937755938</v>
      </c>
      <c r="CL56" s="99">
        <f t="shared" ref="CL56:CL59" si="268">(600*CG56+CG56*(fy-0.85*fc)*(1-(CH56-60)/CI56))</f>
        <v>135151.98918918916</v>
      </c>
      <c r="CM56" s="99">
        <f t="shared" ref="CM56:CM59" si="269">-510*CH56*CG56</f>
        <v>-40055400</v>
      </c>
      <c r="CN56" s="99">
        <f t="shared" ref="CN56:CN59" si="270">(((CK56*CL56/(6*CJ56^2)-(CK56/(3*CJ56))^3-CM56/(2*CJ56))^2+(-(CK56^2/(9*CJ56^2))+CL56/(3*CJ56))^3)^0.5+CK56*CL56/(6*CJ56^2)-CK56^3/(27*CJ56^3)-CM56/(2*CJ56))^(1/3)+(-(((CK56*CL56/(6*CJ56^2)-(CK56/(3*CJ56))^3-CM56/(2*CJ56))^2+(-(CK56^2/(9*CJ56^2))+CL56/(3*CJ56))^3)^0.5)+CK56*CL56/(6*CJ56^2)-CK56^3/(27*CJ56^3)-CM56/(2*CJ56))^(1/3)-CK56/(3*CJ56)</f>
        <v>187.64639336651277</v>
      </c>
      <c r="CO56" s="99">
        <f t="shared" ref="CO56:CO59" si="271">((0.85*fc*CN56*BJ56)+(CG56*(fy-0.85*fc))-(CG56*600*((0.85*CH56)-CN56)/CN56))/1000</f>
        <v>909.85689610864506</v>
      </c>
      <c r="CP56" s="102"/>
      <c r="CQ56" s="99">
        <f t="shared" ref="CQ56:CQ59" si="272">BJ56-60</f>
        <v>140</v>
      </c>
      <c r="CR56" s="99">
        <f t="shared" ref="CR56:CR59" si="273">BW56*1000+BJ56/2-60</f>
        <v>143.59116022099448</v>
      </c>
      <c r="CS56" s="99">
        <f t="shared" ref="CS56:CS59" si="274">0.85*fc*BK56/(2*CR56)</f>
        <v>33.149672951135052</v>
      </c>
      <c r="CT56" s="99">
        <f t="shared" ref="CT56:CT59" si="275">0.85*fc*BK56*(1-CQ56/CR56)</f>
        <v>238.09157368218609</v>
      </c>
      <c r="CU56" s="99">
        <f t="shared" ref="CU56:CU59" si="276">(600*CG56+CG56*(fy-0.85*fc)*(1-(CQ56-60)/CR56))</f>
        <v>179131.76306271643</v>
      </c>
      <c r="CV56" s="99">
        <f t="shared" ref="CV56:CV59" si="277">-510*CQ56*CG56</f>
        <v>-16493400</v>
      </c>
      <c r="CW56" s="99">
        <f t="shared" ref="CW56:CW59" si="278">(((CT56*CU56/(6*CS56^2)-(CT56/(3*CS56))^3-CV56/(2*CS56))^2+(-(CT56^2/(9*CS56^2))+CU56/(3*CS56))^3)^0.5+CT56*CU56/(6*CS56^2)-CT56^3/(27*CS56^3)-CV56/(2*CS56))^(1/3)+(-(((CT56*CU56/(6*CS56^2)-(CT56/(3*CS56))^3-CV56/(2*CS56))^2+(-(CT56^2/(9*CS56^2))+CU56/(3*CS56))^3)^0.5)+CT56*CU56/(6*CS56^2)-CT56^3/(27*CS56^3)-CV56/(2*CS56))^(1/3)-CT56/(3*CS56)</f>
        <v>55.794285341351966</v>
      </c>
      <c r="CX56" s="99">
        <f t="shared" ref="CX56:CX59" si="279">((0.85*fc*CW56*BK56)+(CG56*(fy-0.85*fc))-(CG56*600*((0.85*CQ56)-CW56)/CW56))/1000</f>
        <v>465.6728768170841</v>
      </c>
      <c r="CY56" s="102"/>
      <c r="CZ56" s="99">
        <f t="shared" ref="CZ56:CZ59" si="280">0.425*fc*BJ56</f>
        <v>2380</v>
      </c>
      <c r="DA56" s="99">
        <f t="shared" ref="DA56:DA59" si="281">2*CZ56*(CI56-CH56)</f>
        <v>-333988.95027624327</v>
      </c>
      <c r="DB56" s="101">
        <f t="shared" ref="DB56:DB59" si="282">CG56*(fy-0.85*fc)*(CI56-CH56+60)-CG56*fy*CI56</f>
        <v>-27109710.76243094</v>
      </c>
      <c r="DC56" s="101">
        <f t="shared" ref="DC56:DC59" si="283">(-DA56+(DA56^2-4*CZ56*DB56)^0.5)/(2*CZ56)</f>
        <v>197.89149371366335</v>
      </c>
      <c r="DD56" s="99">
        <f t="shared" ref="DD56:DD59" si="284">600*(DC56/0.85-60)*0.85/DC56</f>
        <v>445.36980632287157</v>
      </c>
      <c r="DE56" s="99">
        <f t="shared" ref="DE56:DE59" si="285">IF(DD56&gt;fy,DB56,CG56*(DD56-0.85*fc)*(CI56-CH56+60)-CG56*fy*CI56)</f>
        <v>-27109710.76243094</v>
      </c>
      <c r="DF56" s="99">
        <f t="shared" ref="DF56:DF59" si="286">(-DA56+(DA56^2-4*CZ56*DE56)^0.5)/(2*CZ56)</f>
        <v>197.89149371366335</v>
      </c>
      <c r="DG56" s="99">
        <f t="shared" ref="DG56:DG59" si="287">IF(DD56&gt;fy,(0.85*fc*DF56*BJ56+CG56*(fy-0.85*fc)-CG56*fy),(0.85*fc*DF56*BJ56+CG56*(DD56-0.85*fc)-CG56*fy))/1000</f>
        <v>936.46571007703756</v>
      </c>
      <c r="DH56" s="102"/>
      <c r="DI56" s="99">
        <f t="shared" ref="DI56:DI59" si="288">0.425*fc*BK56</f>
        <v>4760</v>
      </c>
      <c r="DJ56" s="99">
        <f t="shared" ref="DJ56:DJ59" si="289">2*DI56*(CR56-CQ56)</f>
        <v>34187.845303867463</v>
      </c>
      <c r="DK56" s="99">
        <f t="shared" ref="DK56:DK59" si="290">CG56*(fy-0.85*fc)*(CR56-CQ56+60)-CG56*fy*CR56</f>
        <v>-8111211.4806629829</v>
      </c>
      <c r="DL56" s="99">
        <f t="shared" ref="DL56:DL59" si="291">(-DJ56+(DJ56^2-4*DI56*DK56)^0.5)/(2*DI56)</f>
        <v>37.844723467931708</v>
      </c>
      <c r="DM56" s="99">
        <f t="shared" ref="DM56:DM59" si="292">600*(DL56/0.85-60)*0.85/DC56</f>
        <v>-39.886332510390233</v>
      </c>
      <c r="DN56" s="99">
        <f t="shared" ref="DN56:DN59" si="293">IF(DM56&gt;fy,DK56,CG56*(DM56-0.85*fc)*(CR56-CQ56+60)-CG56*fy*CR56)</f>
        <v>-14866738.440563263</v>
      </c>
      <c r="DO56" s="99">
        <f t="shared" ref="DO56:DO59" si="294">(-DJ56+(DJ56^2-4*DI56*DN56)^0.5)/(2*DI56)</f>
        <v>52.410275564192716</v>
      </c>
      <c r="DP56" s="99">
        <f t="shared" ref="DP56:DP59" si="295">IF(DM56&gt;fy,(0.85*fc*DO56*BK56+CG56*(fy-0.85*fc)-CG56*fy),(0.85*fc*DO56*BK56+CG56*(DM56-0.85*fc)-CG56*fy))/1000</f>
        <v>387.21428056121454</v>
      </c>
      <c r="DQ56" s="102"/>
      <c r="DR56" s="102"/>
      <c r="DS56" s="102"/>
      <c r="DT56" s="41" t="str">
        <f t="shared" si="84"/>
        <v>C374</v>
      </c>
      <c r="DU56" s="55">
        <f t="shared" si="85"/>
        <v>6</v>
      </c>
      <c r="DV56" s="56" t="str">
        <f t="shared" si="86"/>
        <v>φ</v>
      </c>
      <c r="DW56" s="57">
        <f t="shared" si="87"/>
        <v>14</v>
      </c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  <c r="IK56" s="102"/>
      <c r="IL56" s="102"/>
      <c r="IM56" s="102"/>
      <c r="IN56" s="102"/>
      <c r="IO56" s="102"/>
      <c r="IP56" s="102"/>
      <c r="IQ56" s="102"/>
      <c r="IR56" s="102"/>
      <c r="IS56" s="102"/>
      <c r="IT56" s="102"/>
      <c r="IU56" s="102"/>
      <c r="IV56" s="102"/>
    </row>
    <row r="57" spans="1:256" ht="16.5" customHeight="1" thickTop="1" thickBot="1" x14ac:dyDescent="0.3">
      <c r="A57" s="42" t="s">
        <v>148</v>
      </c>
      <c r="B57" s="175" t="s">
        <v>204</v>
      </c>
      <c r="C57" s="93"/>
      <c r="D57" s="43">
        <v>200</v>
      </c>
      <c r="E57" s="43">
        <v>400</v>
      </c>
      <c r="F57" s="42">
        <v>2300</v>
      </c>
      <c r="G57" s="94">
        <v>78.23</v>
      </c>
      <c r="H57" s="94">
        <v>-15.26</v>
      </c>
      <c r="I57" s="94">
        <v>-2.8</v>
      </c>
      <c r="J57" s="94">
        <v>-9.4499999999999993</v>
      </c>
      <c r="K57" s="94">
        <v>5.96</v>
      </c>
      <c r="L57" s="43">
        <f t="shared" si="219"/>
        <v>17.25</v>
      </c>
      <c r="M57" s="43">
        <f t="shared" si="220"/>
        <v>31.798165137614678</v>
      </c>
      <c r="N57" s="44" t="str">
        <f t="shared" si="221"/>
        <v>sho.col</v>
      </c>
      <c r="P57" s="46">
        <f t="shared" ref="P57:P88" si="296">ABS(H57)</f>
        <v>15.26</v>
      </c>
      <c r="Q57" s="46">
        <f t="shared" ref="Q57:Q88" si="297">ABS(I57)</f>
        <v>2.8</v>
      </c>
      <c r="R57" s="46">
        <f t="shared" ref="R57:R88" si="298">ABS(J57)</f>
        <v>9.4499999999999993</v>
      </c>
      <c r="S57" s="46">
        <f t="shared" ref="S57:S88" si="299">ABS(K57)</f>
        <v>5.96</v>
      </c>
      <c r="U57" s="289"/>
      <c r="V57" s="298"/>
      <c r="W57" s="15" t="s">
        <v>98</v>
      </c>
      <c r="X57" s="43">
        <v>10300</v>
      </c>
      <c r="Y57" s="43">
        <v>5200</v>
      </c>
      <c r="Z57" s="292">
        <f>D13</f>
        <v>200</v>
      </c>
      <c r="AA57" s="292">
        <f>E13</f>
        <v>500</v>
      </c>
      <c r="AB57" s="292">
        <f>F13</f>
        <v>1600</v>
      </c>
      <c r="AC57" s="292">
        <f>(Z57*AA57^3/12)/AB57</f>
        <v>1302083.3333333333</v>
      </c>
      <c r="AD57" s="293"/>
      <c r="AE57" s="293"/>
      <c r="AJ57" s="306" t="str">
        <f t="shared" si="222"/>
        <v>C375</v>
      </c>
      <c r="AK57" s="307"/>
      <c r="AL57" s="43">
        <v>200</v>
      </c>
      <c r="AM57" s="43">
        <v>400</v>
      </c>
      <c r="AN57" s="43">
        <f t="shared" si="223"/>
        <v>340</v>
      </c>
      <c r="AO57" s="43">
        <f t="shared" si="224"/>
        <v>78.23</v>
      </c>
      <c r="AP57" s="43">
        <f t="shared" si="225"/>
        <v>15.26</v>
      </c>
      <c r="AQ57" s="43">
        <f t="shared" si="226"/>
        <v>9.4499999999999993</v>
      </c>
      <c r="AR57" s="43">
        <f t="shared" si="227"/>
        <v>25.436923076923076</v>
      </c>
      <c r="AS57" s="43">
        <f t="shared" si="228"/>
        <v>13.558461538461538</v>
      </c>
      <c r="AT57" s="43">
        <f t="shared" si="229"/>
        <v>25.436923076923076</v>
      </c>
      <c r="AU57" s="43">
        <f t="shared" si="230"/>
        <v>0.3251556062498156</v>
      </c>
      <c r="AV57" s="44" t="str">
        <f t="shared" si="231"/>
        <v>Compression</v>
      </c>
      <c r="AW57" s="43">
        <f t="shared" si="232"/>
        <v>800</v>
      </c>
      <c r="AX57" s="43">
        <f t="shared" si="233"/>
        <v>200</v>
      </c>
      <c r="AY57" s="43">
        <f t="shared" si="234"/>
        <v>0.01</v>
      </c>
      <c r="AZ57" s="47">
        <f t="shared" si="235"/>
        <v>6</v>
      </c>
      <c r="BA57" s="48" t="s">
        <v>65</v>
      </c>
      <c r="BB57" s="49">
        <v>14</v>
      </c>
      <c r="BC57" s="94">
        <v>5.71</v>
      </c>
      <c r="BD57" s="43">
        <f t="shared" si="236"/>
        <v>49.387357806539029</v>
      </c>
      <c r="BE57" s="43">
        <f t="shared" si="237"/>
        <v>-49.387357806539029</v>
      </c>
      <c r="BF57" s="43">
        <f t="shared" si="238"/>
        <v>100</v>
      </c>
      <c r="BG57" s="43">
        <f t="shared" si="239"/>
        <v>450</v>
      </c>
      <c r="BH57" s="44" t="str">
        <f t="shared" si="240"/>
        <v>No Need Shear Reinf.</v>
      </c>
      <c r="BI57" s="50" t="str">
        <f t="shared" si="241"/>
        <v>Use Φ10@100mm</v>
      </c>
      <c r="BJ57" s="43">
        <f t="shared" si="242"/>
        <v>200</v>
      </c>
      <c r="BK57" s="43">
        <f t="shared" si="243"/>
        <v>400</v>
      </c>
      <c r="BL57" s="43">
        <f t="shared" si="244"/>
        <v>170</v>
      </c>
      <c r="BM57" s="43">
        <f t="shared" si="245"/>
        <v>70</v>
      </c>
      <c r="BN57" s="43">
        <f t="shared" si="246"/>
        <v>420</v>
      </c>
      <c r="BO57" s="43">
        <f t="shared" si="247"/>
        <v>162.85714285714292</v>
      </c>
      <c r="BP57" s="43">
        <f t="shared" si="248"/>
        <v>803.70219999999995</v>
      </c>
      <c r="BQ57" s="43">
        <f t="shared" si="249"/>
        <v>601.5021999999999</v>
      </c>
      <c r="BR57" s="43">
        <f t="shared" si="250"/>
        <v>184.189908</v>
      </c>
      <c r="BS57" s="43">
        <f t="shared" si="251"/>
        <v>27.392088000000001</v>
      </c>
      <c r="BT57" s="43">
        <f t="shared" si="252"/>
        <v>0.22917681200822893</v>
      </c>
      <c r="BU57" s="43">
        <f t="shared" si="253"/>
        <v>4.5539464361061363E-2</v>
      </c>
      <c r="BV57" s="43">
        <f t="shared" si="254"/>
        <v>0.19506583152243384</v>
      </c>
      <c r="BW57" s="43">
        <f t="shared" si="255"/>
        <v>0.12079764796114022</v>
      </c>
      <c r="BX57" s="44" t="str">
        <f t="shared" si="256"/>
        <v>Compression Controls</v>
      </c>
      <c r="BY57" s="44" t="str">
        <f t="shared" si="257"/>
        <v>Tension Controls</v>
      </c>
      <c r="BZ57" s="43">
        <f t="shared" si="258"/>
        <v>615.66858856494002</v>
      </c>
      <c r="CA57" s="43">
        <f t="shared" si="259"/>
        <v>294.9513791161711</v>
      </c>
      <c r="CB57" s="43">
        <f t="shared" si="260"/>
        <v>2270.0888</v>
      </c>
      <c r="CC57" s="43">
        <f t="shared" si="261"/>
        <v>142.10357609026178</v>
      </c>
      <c r="CD57" s="51" t="str">
        <f t="shared" si="262"/>
        <v xml:space="preserve">Safe </v>
      </c>
      <c r="CE57" s="1"/>
      <c r="CF57" s="1"/>
      <c r="CG57" s="43">
        <f t="shared" si="263"/>
        <v>231</v>
      </c>
      <c r="CH57" s="43">
        <f t="shared" si="264"/>
        <v>340</v>
      </c>
      <c r="CI57" s="43">
        <f t="shared" si="265"/>
        <v>335.06583152243388</v>
      </c>
      <c r="CJ57" s="52">
        <f t="shared" si="266"/>
        <v>7.1030817710836933</v>
      </c>
      <c r="CK57" s="52">
        <f t="shared" si="267"/>
        <v>-70.095604336911606</v>
      </c>
      <c r="CL57" s="52">
        <f t="shared" si="268"/>
        <v>153641.0622977087</v>
      </c>
      <c r="CM57" s="52">
        <f t="shared" si="269"/>
        <v>-40055400</v>
      </c>
      <c r="CN57" s="52">
        <f t="shared" si="270"/>
        <v>140.7738622512399</v>
      </c>
      <c r="CO57" s="53">
        <f t="shared" si="271"/>
        <v>615.66858856494002</v>
      </c>
      <c r="CP57" s="1"/>
      <c r="CQ57" s="43">
        <f t="shared" si="272"/>
        <v>140</v>
      </c>
      <c r="CR57" s="43">
        <f t="shared" si="273"/>
        <v>160.79764796114023</v>
      </c>
      <c r="CS57" s="52">
        <f t="shared" si="274"/>
        <v>29.602423047570593</v>
      </c>
      <c r="CT57" s="52">
        <f t="shared" si="275"/>
        <v>1231.3215466802342</v>
      </c>
      <c r="CU57" s="52">
        <f t="shared" si="276"/>
        <v>184588.10113202748</v>
      </c>
      <c r="CV57" s="52">
        <f t="shared" si="277"/>
        <v>-16493400</v>
      </c>
      <c r="CW57" s="52">
        <f t="shared" si="278"/>
        <v>50.90742130410068</v>
      </c>
      <c r="CX57" s="53">
        <f t="shared" si="279"/>
        <v>390.77272536128601</v>
      </c>
      <c r="CY57" s="1"/>
      <c r="CZ57" s="52">
        <f t="shared" si="280"/>
        <v>2380</v>
      </c>
      <c r="DA57" s="52">
        <f t="shared" si="281"/>
        <v>-23486.641953214719</v>
      </c>
      <c r="DB57" s="54">
        <f t="shared" si="282"/>
        <v>-27468340.928544037</v>
      </c>
      <c r="DC57" s="54">
        <f t="shared" si="283"/>
        <v>112.47795368359581</v>
      </c>
      <c r="DD57" s="52">
        <f t="shared" si="284"/>
        <v>327.94668645840767</v>
      </c>
      <c r="DE57" s="52">
        <f t="shared" si="285"/>
        <v>-28639278.139348116</v>
      </c>
      <c r="DF57" s="52">
        <f t="shared" si="286"/>
        <v>114.741527799008</v>
      </c>
      <c r="DG57" s="53">
        <f t="shared" si="287"/>
        <v>519.40755689517027</v>
      </c>
      <c r="DH57" s="1"/>
      <c r="DI57" s="52">
        <f t="shared" si="288"/>
        <v>4760</v>
      </c>
      <c r="DJ57" s="52">
        <f t="shared" si="289"/>
        <v>197993.60859005497</v>
      </c>
      <c r="DK57" s="52">
        <f t="shared" si="290"/>
        <v>-8205809.3089607572</v>
      </c>
      <c r="DL57" s="52">
        <f t="shared" si="291"/>
        <v>25.639962651430643</v>
      </c>
      <c r="DM57" s="52">
        <f t="shared" si="292"/>
        <v>-135.28004298464376</v>
      </c>
      <c r="DN57" s="52">
        <f t="shared" si="293"/>
        <v>-18569698.55996529</v>
      </c>
      <c r="DO57" s="52">
        <f t="shared" si="294"/>
        <v>45.033494647649555</v>
      </c>
      <c r="DP57" s="53">
        <f t="shared" si="295"/>
        <v>294.9513791161711</v>
      </c>
      <c r="DT57" s="41" t="str">
        <f t="shared" si="84"/>
        <v>C375</v>
      </c>
      <c r="DU57" s="55">
        <f t="shared" si="85"/>
        <v>6</v>
      </c>
      <c r="DV57" s="56" t="str">
        <f t="shared" si="86"/>
        <v>φ</v>
      </c>
      <c r="DW57" s="57">
        <f t="shared" si="87"/>
        <v>14</v>
      </c>
    </row>
    <row r="58" spans="1:256" ht="16.5" customHeight="1" thickTop="1" thickBot="1" x14ac:dyDescent="0.3">
      <c r="A58" s="42" t="s">
        <v>149</v>
      </c>
      <c r="B58" s="175" t="s">
        <v>205</v>
      </c>
      <c r="C58" s="93"/>
      <c r="D58" s="43">
        <v>200</v>
      </c>
      <c r="E58" s="43">
        <v>400</v>
      </c>
      <c r="F58" s="42">
        <v>2300</v>
      </c>
      <c r="G58" s="94">
        <v>78.290000000000006</v>
      </c>
      <c r="H58" s="94">
        <v>-17.29</v>
      </c>
      <c r="I58" s="94">
        <v>-10.37</v>
      </c>
      <c r="J58" s="94">
        <v>8.36</v>
      </c>
      <c r="K58" s="94">
        <v>-3.71</v>
      </c>
      <c r="L58" s="43">
        <f t="shared" si="219"/>
        <v>17.25</v>
      </c>
      <c r="M58" s="43">
        <f t="shared" si="220"/>
        <v>26.802776171197223</v>
      </c>
      <c r="N58" s="44" t="str">
        <f t="shared" si="221"/>
        <v>sho.col</v>
      </c>
      <c r="P58" s="46">
        <f t="shared" si="296"/>
        <v>17.29</v>
      </c>
      <c r="Q58" s="46">
        <f t="shared" si="297"/>
        <v>10.37</v>
      </c>
      <c r="R58" s="46">
        <f t="shared" si="298"/>
        <v>8.36</v>
      </c>
      <c r="S58" s="46">
        <f t="shared" si="299"/>
        <v>3.71</v>
      </c>
      <c r="U58" s="289"/>
      <c r="V58" s="301"/>
      <c r="W58" s="15" t="s">
        <v>99</v>
      </c>
      <c r="X58" s="43">
        <f>(X55*X56^3/12)/X57</f>
        <v>2071197.4110032362</v>
      </c>
      <c r="Y58" s="43">
        <f>(Y55*Y56^3/12)/Y57</f>
        <v>4102564.1025641025</v>
      </c>
      <c r="Z58" s="293"/>
      <c r="AA58" s="293"/>
      <c r="AB58" s="293"/>
      <c r="AC58" s="295"/>
      <c r="AD58" s="294"/>
      <c r="AE58" s="293"/>
      <c r="AJ58" s="306" t="str">
        <f t="shared" si="222"/>
        <v>C376</v>
      </c>
      <c r="AK58" s="307"/>
      <c r="AL58" s="43">
        <v>200</v>
      </c>
      <c r="AM58" s="43">
        <v>400</v>
      </c>
      <c r="AN58" s="43">
        <f t="shared" si="223"/>
        <v>340</v>
      </c>
      <c r="AO58" s="43">
        <f t="shared" si="224"/>
        <v>78.290000000000006</v>
      </c>
      <c r="AP58" s="43">
        <f t="shared" si="225"/>
        <v>17.29</v>
      </c>
      <c r="AQ58" s="43">
        <f t="shared" si="226"/>
        <v>8.36</v>
      </c>
      <c r="AR58" s="43">
        <f t="shared" si="227"/>
        <v>26.293076923076921</v>
      </c>
      <c r="AS58" s="43">
        <f t="shared" si="228"/>
        <v>13.014999999999999</v>
      </c>
      <c r="AT58" s="43">
        <f t="shared" si="229"/>
        <v>26.293076923076921</v>
      </c>
      <c r="AU58" s="43">
        <f t="shared" si="230"/>
        <v>0.33584208612947908</v>
      </c>
      <c r="AV58" s="44" t="str">
        <f t="shared" si="231"/>
        <v>Compression</v>
      </c>
      <c r="AW58" s="43">
        <f t="shared" si="232"/>
        <v>800</v>
      </c>
      <c r="AX58" s="43">
        <f t="shared" si="233"/>
        <v>200</v>
      </c>
      <c r="AY58" s="43">
        <f t="shared" si="234"/>
        <v>0.01</v>
      </c>
      <c r="AZ58" s="47">
        <f t="shared" si="235"/>
        <v>6</v>
      </c>
      <c r="BA58" s="48" t="s">
        <v>65</v>
      </c>
      <c r="BB58" s="49">
        <v>14</v>
      </c>
      <c r="BC58" s="94">
        <v>4.47</v>
      </c>
      <c r="BD58" s="43">
        <f t="shared" si="236"/>
        <v>49.387357806539029</v>
      </c>
      <c r="BE58" s="43">
        <f t="shared" si="237"/>
        <v>-49.387357806539029</v>
      </c>
      <c r="BF58" s="43">
        <f t="shared" si="238"/>
        <v>100</v>
      </c>
      <c r="BG58" s="43">
        <f t="shared" si="239"/>
        <v>450</v>
      </c>
      <c r="BH58" s="44" t="str">
        <f t="shared" si="240"/>
        <v>No Need Shear Reinf.</v>
      </c>
      <c r="BI58" s="50" t="str">
        <f t="shared" si="241"/>
        <v>Use Φ10@100mm</v>
      </c>
      <c r="BJ58" s="43">
        <f t="shared" si="242"/>
        <v>200</v>
      </c>
      <c r="BK58" s="43">
        <f t="shared" si="243"/>
        <v>400</v>
      </c>
      <c r="BL58" s="43">
        <f t="shared" si="244"/>
        <v>170</v>
      </c>
      <c r="BM58" s="43">
        <f t="shared" si="245"/>
        <v>70</v>
      </c>
      <c r="BN58" s="43">
        <f t="shared" si="246"/>
        <v>420</v>
      </c>
      <c r="BO58" s="43">
        <f t="shared" si="247"/>
        <v>162.85714285714292</v>
      </c>
      <c r="BP58" s="43">
        <f t="shared" si="248"/>
        <v>803.70219999999995</v>
      </c>
      <c r="BQ58" s="43">
        <f t="shared" si="249"/>
        <v>601.5021999999999</v>
      </c>
      <c r="BR58" s="43">
        <f t="shared" si="250"/>
        <v>184.189908</v>
      </c>
      <c r="BS58" s="43">
        <f t="shared" si="251"/>
        <v>27.392088000000001</v>
      </c>
      <c r="BT58" s="43">
        <f t="shared" si="252"/>
        <v>0.22917681200822893</v>
      </c>
      <c r="BU58" s="43">
        <f t="shared" si="253"/>
        <v>4.5539464361061363E-2</v>
      </c>
      <c r="BV58" s="43">
        <f t="shared" si="254"/>
        <v>0.22084557414740066</v>
      </c>
      <c r="BW58" s="43">
        <f t="shared" si="255"/>
        <v>0.10678247541192999</v>
      </c>
      <c r="BX58" s="44" t="str">
        <f t="shared" si="256"/>
        <v>Compression Controls</v>
      </c>
      <c r="BY58" s="44" t="str">
        <f t="shared" si="257"/>
        <v>Tension Controls</v>
      </c>
      <c r="BZ58" s="43">
        <f t="shared" si="258"/>
        <v>543.74778219893665</v>
      </c>
      <c r="CA58" s="43">
        <f t="shared" si="259"/>
        <v>368.32788725170263</v>
      </c>
      <c r="CB58" s="43">
        <f t="shared" si="260"/>
        <v>2270.0888</v>
      </c>
      <c r="CC58" s="43">
        <f t="shared" si="261"/>
        <v>158.0144121557536</v>
      </c>
      <c r="CD58" s="51" t="str">
        <f t="shared" si="262"/>
        <v xml:space="preserve">Safe </v>
      </c>
      <c r="CE58" s="1"/>
      <c r="CF58" s="1"/>
      <c r="CG58" s="43">
        <f t="shared" si="263"/>
        <v>231</v>
      </c>
      <c r="CH58" s="43">
        <f t="shared" si="264"/>
        <v>340</v>
      </c>
      <c r="CI58" s="43">
        <f t="shared" si="265"/>
        <v>360.84557414740067</v>
      </c>
      <c r="CJ58" s="52">
        <f t="shared" si="266"/>
        <v>6.5956192080876166</v>
      </c>
      <c r="CK58" s="52">
        <f t="shared" si="267"/>
        <v>274.97893850042078</v>
      </c>
      <c r="CL58" s="52">
        <f t="shared" si="268"/>
        <v>159105.07290747805</v>
      </c>
      <c r="CM58" s="52">
        <f t="shared" si="269"/>
        <v>-40055400</v>
      </c>
      <c r="CN58" s="52">
        <f t="shared" si="270"/>
        <v>130.41333660981903</v>
      </c>
      <c r="CO58" s="53">
        <f t="shared" si="271"/>
        <v>543.74778219893665</v>
      </c>
      <c r="CP58" s="1"/>
      <c r="CQ58" s="43">
        <f t="shared" si="272"/>
        <v>140</v>
      </c>
      <c r="CR58" s="43">
        <f t="shared" si="273"/>
        <v>146.78247541192999</v>
      </c>
      <c r="CS58" s="52">
        <f t="shared" si="274"/>
        <v>32.428939399213341</v>
      </c>
      <c r="CT58" s="52">
        <f t="shared" si="275"/>
        <v>439.89696822026451</v>
      </c>
      <c r="CU58" s="52">
        <f t="shared" si="276"/>
        <v>180240.38693306415</v>
      </c>
      <c r="CV58" s="52">
        <f t="shared" si="277"/>
        <v>-16493400</v>
      </c>
      <c r="CW58" s="52">
        <f t="shared" si="278"/>
        <v>54.720173932293996</v>
      </c>
      <c r="CX58" s="53">
        <f t="shared" si="279"/>
        <v>449.64474022038422</v>
      </c>
      <c r="CY58" s="1"/>
      <c r="CZ58" s="52">
        <f t="shared" si="280"/>
        <v>2380</v>
      </c>
      <c r="DA58" s="52">
        <f t="shared" si="281"/>
        <v>99224.932941627179</v>
      </c>
      <c r="DB58" s="54">
        <f t="shared" si="282"/>
        <v>-27610072.797547579</v>
      </c>
      <c r="DC58" s="54">
        <f t="shared" si="283"/>
        <v>88.860437013675181</v>
      </c>
      <c r="DD58" s="52">
        <f t="shared" si="284"/>
        <v>255.63977594111077</v>
      </c>
      <c r="DE58" s="52">
        <f t="shared" si="285"/>
        <v>-30679553.83086697</v>
      </c>
      <c r="DF58" s="52">
        <f t="shared" si="286"/>
        <v>94.588852251457951</v>
      </c>
      <c r="DG58" s="53">
        <f t="shared" si="287"/>
        <v>406.77792495933642</v>
      </c>
      <c r="DH58" s="1"/>
      <c r="DI58" s="52">
        <f t="shared" si="288"/>
        <v>4760</v>
      </c>
      <c r="DJ58" s="52">
        <f t="shared" si="289"/>
        <v>64569.165921573542</v>
      </c>
      <c r="DK58" s="52">
        <f t="shared" si="290"/>
        <v>-8128756.6933197081</v>
      </c>
      <c r="DL58" s="52">
        <f t="shared" si="291"/>
        <v>35.095012181147176</v>
      </c>
      <c r="DM58" s="52">
        <f t="shared" si="292"/>
        <v>-107.39304252851103</v>
      </c>
      <c r="DN58" s="52">
        <f t="shared" si="293"/>
        <v>-16264718.272083936</v>
      </c>
      <c r="DO58" s="52">
        <f t="shared" si="294"/>
        <v>52.064441184431587</v>
      </c>
      <c r="DP58" s="53">
        <f t="shared" si="295"/>
        <v>368.32788725170263</v>
      </c>
      <c r="DT58" s="41" t="str">
        <f t="shared" si="84"/>
        <v>C376</v>
      </c>
      <c r="DU58" s="55">
        <f t="shared" si="85"/>
        <v>6</v>
      </c>
      <c r="DV58" s="56" t="str">
        <f t="shared" si="86"/>
        <v>φ</v>
      </c>
      <c r="DW58" s="57">
        <f t="shared" si="87"/>
        <v>14</v>
      </c>
    </row>
    <row r="59" spans="1:256" ht="16.5" customHeight="1" thickTop="1" thickBot="1" x14ac:dyDescent="0.3">
      <c r="A59" s="42" t="s">
        <v>150</v>
      </c>
      <c r="B59" s="175" t="s">
        <v>206</v>
      </c>
      <c r="C59" s="93"/>
      <c r="D59" s="43">
        <v>200</v>
      </c>
      <c r="E59" s="43">
        <v>400</v>
      </c>
      <c r="F59" s="42">
        <v>2300</v>
      </c>
      <c r="G59" s="94">
        <v>43.67</v>
      </c>
      <c r="H59" s="94">
        <v>4.75</v>
      </c>
      <c r="I59" s="94">
        <v>-7.69</v>
      </c>
      <c r="J59" s="94">
        <v>6.07</v>
      </c>
      <c r="K59" s="94">
        <v>-6.14</v>
      </c>
      <c r="L59" s="43">
        <f t="shared" si="219"/>
        <v>17.25</v>
      </c>
      <c r="M59" s="43">
        <f t="shared" si="220"/>
        <v>41.412223667100129</v>
      </c>
      <c r="N59" s="44" t="str">
        <f t="shared" si="221"/>
        <v>sho.col</v>
      </c>
      <c r="P59" s="46">
        <f t="shared" si="296"/>
        <v>4.75</v>
      </c>
      <c r="Q59" s="46">
        <f t="shared" si="297"/>
        <v>7.69</v>
      </c>
      <c r="R59" s="46">
        <f t="shared" si="298"/>
        <v>6.07</v>
      </c>
      <c r="S59" s="46">
        <f t="shared" si="299"/>
        <v>6.14</v>
      </c>
      <c r="U59" s="289"/>
      <c r="V59" s="300" t="s">
        <v>101</v>
      </c>
      <c r="W59" s="15" t="s">
        <v>86</v>
      </c>
      <c r="X59" s="43">
        <v>500</v>
      </c>
      <c r="Y59" s="43">
        <v>500</v>
      </c>
      <c r="Z59" s="293">
        <v>500</v>
      </c>
      <c r="AA59" s="293">
        <v>501</v>
      </c>
      <c r="AB59" s="293">
        <v>502</v>
      </c>
      <c r="AC59" s="292">
        <v>0</v>
      </c>
      <c r="AD59" s="292">
        <v>1</v>
      </c>
      <c r="AE59" s="293"/>
      <c r="AJ59" s="306" t="str">
        <f t="shared" si="222"/>
        <v>C377</v>
      </c>
      <c r="AK59" s="307"/>
      <c r="AL59" s="43">
        <v>200</v>
      </c>
      <c r="AM59" s="43">
        <v>400</v>
      </c>
      <c r="AN59" s="43">
        <f t="shared" si="223"/>
        <v>340</v>
      </c>
      <c r="AO59" s="43">
        <f t="shared" si="224"/>
        <v>43.67</v>
      </c>
      <c r="AP59" s="43">
        <f t="shared" si="225"/>
        <v>4.75</v>
      </c>
      <c r="AQ59" s="43">
        <f t="shared" si="226"/>
        <v>6.07</v>
      </c>
      <c r="AR59" s="43">
        <f t="shared" si="227"/>
        <v>11.286923076923078</v>
      </c>
      <c r="AS59" s="43">
        <f t="shared" si="228"/>
        <v>7.3488461538461536</v>
      </c>
      <c r="AT59" s="43">
        <f t="shared" si="229"/>
        <v>11.286923076923078</v>
      </c>
      <c r="AU59" s="43">
        <f t="shared" si="230"/>
        <v>0.25845942470627609</v>
      </c>
      <c r="AV59" s="44" t="str">
        <f t="shared" si="231"/>
        <v>Compression</v>
      </c>
      <c r="AW59" s="43">
        <f t="shared" si="232"/>
        <v>800</v>
      </c>
      <c r="AX59" s="43">
        <f t="shared" si="233"/>
        <v>200</v>
      </c>
      <c r="AY59" s="43">
        <f t="shared" si="234"/>
        <v>0.01</v>
      </c>
      <c r="AZ59" s="47">
        <f t="shared" si="235"/>
        <v>6</v>
      </c>
      <c r="BA59" s="48" t="s">
        <v>65</v>
      </c>
      <c r="BB59" s="49">
        <v>14</v>
      </c>
      <c r="BC59" s="94">
        <v>4.6100000000000003</v>
      </c>
      <c r="BD59" s="43">
        <f t="shared" si="236"/>
        <v>49.387357806539029</v>
      </c>
      <c r="BE59" s="43">
        <f t="shared" si="237"/>
        <v>-49.387357806539029</v>
      </c>
      <c r="BF59" s="43">
        <f t="shared" si="238"/>
        <v>100</v>
      </c>
      <c r="BG59" s="43">
        <f t="shared" si="239"/>
        <v>450</v>
      </c>
      <c r="BH59" s="44" t="str">
        <f t="shared" si="240"/>
        <v>No Need Shear Reinf.</v>
      </c>
      <c r="BI59" s="50" t="str">
        <f t="shared" si="241"/>
        <v>Use Φ10@100mm</v>
      </c>
      <c r="BJ59" s="43">
        <f t="shared" si="242"/>
        <v>200</v>
      </c>
      <c r="BK59" s="43">
        <f t="shared" si="243"/>
        <v>400</v>
      </c>
      <c r="BL59" s="43">
        <f t="shared" si="244"/>
        <v>170</v>
      </c>
      <c r="BM59" s="43">
        <f t="shared" si="245"/>
        <v>70</v>
      </c>
      <c r="BN59" s="43">
        <f t="shared" si="246"/>
        <v>420</v>
      </c>
      <c r="BO59" s="43">
        <f t="shared" si="247"/>
        <v>162.85714285714292</v>
      </c>
      <c r="BP59" s="43">
        <f t="shared" si="248"/>
        <v>803.70219999999995</v>
      </c>
      <c r="BQ59" s="43">
        <f t="shared" si="249"/>
        <v>601.5021999999999</v>
      </c>
      <c r="BR59" s="43">
        <f t="shared" si="250"/>
        <v>184.189908</v>
      </c>
      <c r="BS59" s="43">
        <f t="shared" si="251"/>
        <v>27.392088000000001</v>
      </c>
      <c r="BT59" s="43">
        <f t="shared" si="252"/>
        <v>0.22917681200822893</v>
      </c>
      <c r="BU59" s="43">
        <f t="shared" si="253"/>
        <v>4.5539464361061363E-2</v>
      </c>
      <c r="BV59" s="43">
        <f t="shared" si="254"/>
        <v>0.10877032287611632</v>
      </c>
      <c r="BW59" s="43">
        <f t="shared" si="255"/>
        <v>0.13899702312800549</v>
      </c>
      <c r="BX59" s="44" t="str">
        <f t="shared" si="256"/>
        <v>Compression Controls</v>
      </c>
      <c r="BY59" s="44" t="str">
        <f t="shared" si="257"/>
        <v>Tension Controls</v>
      </c>
      <c r="BZ59" s="43">
        <f t="shared" si="258"/>
        <v>1053.6766521758905</v>
      </c>
      <c r="CA59" s="43">
        <f t="shared" si="259"/>
        <v>224.83721380267431</v>
      </c>
      <c r="CB59" s="43">
        <f t="shared" si="260"/>
        <v>2270.0888</v>
      </c>
      <c r="CC59" s="43">
        <f t="shared" si="261"/>
        <v>131.14863496532084</v>
      </c>
      <c r="CD59" s="51" t="str">
        <f t="shared" si="262"/>
        <v xml:space="preserve">Safe </v>
      </c>
      <c r="CE59" s="1"/>
      <c r="CF59" s="1"/>
      <c r="CG59" s="43">
        <f t="shared" si="263"/>
        <v>231</v>
      </c>
      <c r="CH59" s="43">
        <f t="shared" si="264"/>
        <v>340</v>
      </c>
      <c r="CI59" s="43">
        <f t="shared" si="265"/>
        <v>248.77032287611632</v>
      </c>
      <c r="CJ59" s="52">
        <f t="shared" si="266"/>
        <v>9.5670575673337144</v>
      </c>
      <c r="CK59" s="52">
        <f t="shared" si="267"/>
        <v>-1745.5991457869256</v>
      </c>
      <c r="CL59" s="52">
        <f t="shared" si="268"/>
        <v>127110.65222482005</v>
      </c>
      <c r="CM59" s="52">
        <f t="shared" si="269"/>
        <v>-40055400</v>
      </c>
      <c r="CN59" s="52">
        <f t="shared" si="270"/>
        <v>212.59748325247656</v>
      </c>
      <c r="CO59" s="53">
        <f t="shared" si="271"/>
        <v>1053.6766521758905</v>
      </c>
      <c r="CP59" s="1"/>
      <c r="CQ59" s="43">
        <f t="shared" si="272"/>
        <v>140</v>
      </c>
      <c r="CR59" s="43">
        <f t="shared" si="273"/>
        <v>178.99702312800548</v>
      </c>
      <c r="CS59" s="52">
        <f t="shared" si="274"/>
        <v>26.592621021389828</v>
      </c>
      <c r="CT59" s="52">
        <f t="shared" si="275"/>
        <v>2074.0661140108477</v>
      </c>
      <c r="CU59" s="52">
        <f t="shared" si="276"/>
        <v>189217.74319926312</v>
      </c>
      <c r="CV59" s="52">
        <f t="shared" si="277"/>
        <v>-16493400</v>
      </c>
      <c r="CW59" s="52">
        <f t="shared" si="278"/>
        <v>47.457534694379703</v>
      </c>
      <c r="CX59" s="53">
        <f t="shared" si="279"/>
        <v>334.37775345207848</v>
      </c>
      <c r="CY59" s="1"/>
      <c r="CZ59" s="52">
        <f t="shared" si="280"/>
        <v>2380</v>
      </c>
      <c r="DA59" s="52">
        <f t="shared" si="281"/>
        <v>-434253.26310968632</v>
      </c>
      <c r="DB59" s="54">
        <f t="shared" si="282"/>
        <v>-26993905.481108315</v>
      </c>
      <c r="DC59" s="54">
        <f t="shared" si="283"/>
        <v>231.46102554865891</v>
      </c>
      <c r="DD59" s="52">
        <f t="shared" si="284"/>
        <v>467.79631720949448</v>
      </c>
      <c r="DE59" s="52">
        <f t="shared" si="285"/>
        <v>-26993905.481108315</v>
      </c>
      <c r="DF59" s="52">
        <f t="shared" si="286"/>
        <v>231.46102554865891</v>
      </c>
      <c r="DG59" s="53">
        <f t="shared" si="287"/>
        <v>1096.2566816116164</v>
      </c>
      <c r="DH59" s="1"/>
      <c r="DI59" s="52">
        <f t="shared" si="288"/>
        <v>4760</v>
      </c>
      <c r="DJ59" s="52">
        <f t="shared" si="289"/>
        <v>371251.66017861216</v>
      </c>
      <c r="DK59" s="52">
        <f t="shared" si="290"/>
        <v>-8305865.83375315</v>
      </c>
      <c r="DL59" s="52">
        <f t="shared" si="291"/>
        <v>18.149259426970563</v>
      </c>
      <c r="DM59" s="52">
        <f t="shared" si="292"/>
        <v>-85.156644826470071</v>
      </c>
      <c r="DN59" s="52">
        <f t="shared" si="293"/>
        <v>-19857945.769569196</v>
      </c>
      <c r="DO59" s="52">
        <f t="shared" si="294"/>
        <v>36.452331802267743</v>
      </c>
      <c r="DP59" s="53">
        <f t="shared" si="295"/>
        <v>224.83721380267431</v>
      </c>
      <c r="DT59" s="41" t="str">
        <f t="shared" si="84"/>
        <v>C377</v>
      </c>
      <c r="DU59" s="55">
        <f t="shared" si="85"/>
        <v>6</v>
      </c>
      <c r="DV59" s="56" t="str">
        <f t="shared" si="86"/>
        <v>φ</v>
      </c>
      <c r="DW59" s="57">
        <f t="shared" si="87"/>
        <v>14</v>
      </c>
    </row>
    <row r="60" spans="1:256" ht="16.5" customHeight="1" thickTop="1" thickBot="1" x14ac:dyDescent="0.3">
      <c r="A60" s="42"/>
      <c r="B60" s="174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4" t="str">
        <f t="shared" ref="N60:N64" si="300">IF(L60&lt;=M60,"sho.col","long.col")</f>
        <v>sho.col</v>
      </c>
      <c r="P60" s="46">
        <f t="shared" si="296"/>
        <v>0</v>
      </c>
      <c r="Q60" s="46">
        <f t="shared" si="297"/>
        <v>0</v>
      </c>
      <c r="R60" s="46">
        <f t="shared" si="298"/>
        <v>0</v>
      </c>
      <c r="S60" s="46">
        <f t="shared" si="299"/>
        <v>0</v>
      </c>
      <c r="U60" s="289"/>
      <c r="V60" s="298"/>
      <c r="W60" s="15" t="s">
        <v>97</v>
      </c>
      <c r="X60" s="43">
        <v>800</v>
      </c>
      <c r="Y60" s="43">
        <v>800</v>
      </c>
      <c r="Z60" s="295"/>
      <c r="AA60" s="295"/>
      <c r="AB60" s="295"/>
      <c r="AC60" s="295"/>
      <c r="AD60" s="293"/>
      <c r="AE60" s="293"/>
      <c r="AJ60" s="306"/>
      <c r="AK60" s="307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4"/>
      <c r="AW60" s="43"/>
      <c r="AX60" s="43"/>
      <c r="AY60" s="43"/>
      <c r="AZ60" s="47"/>
      <c r="BA60" s="48"/>
      <c r="BB60" s="49"/>
      <c r="BC60" s="43"/>
      <c r="BD60" s="43"/>
      <c r="BE60" s="43"/>
      <c r="BF60" s="43"/>
      <c r="BG60" s="43"/>
      <c r="BH60" s="44"/>
      <c r="BI60" s="50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4"/>
      <c r="BY60" s="44"/>
      <c r="BZ60" s="43"/>
      <c r="CA60" s="43"/>
      <c r="CB60" s="43"/>
      <c r="CC60" s="43"/>
      <c r="CD60" s="51"/>
      <c r="CE60" s="1"/>
      <c r="CF60" s="1"/>
      <c r="CG60" s="43"/>
      <c r="CH60" s="43"/>
      <c r="CI60" s="43"/>
      <c r="CJ60" s="52"/>
      <c r="CK60" s="52"/>
      <c r="CL60" s="52"/>
      <c r="CM60" s="52"/>
      <c r="CN60" s="52"/>
      <c r="CO60" s="53"/>
      <c r="CP60" s="1"/>
      <c r="CQ60" s="43"/>
      <c r="CR60" s="43"/>
      <c r="CS60" s="52"/>
      <c r="CT60" s="52"/>
      <c r="CU60" s="52"/>
      <c r="CV60" s="52"/>
      <c r="CW60" s="52"/>
      <c r="CX60" s="53"/>
      <c r="CY60" s="1"/>
      <c r="CZ60" s="52"/>
      <c r="DA60" s="52"/>
      <c r="DB60" s="54"/>
      <c r="DC60" s="54"/>
      <c r="DD60" s="52"/>
      <c r="DE60" s="52"/>
      <c r="DF60" s="52"/>
      <c r="DG60" s="53"/>
      <c r="DH60" s="1"/>
      <c r="DI60" s="52"/>
      <c r="DJ60" s="52"/>
      <c r="DK60" s="52"/>
      <c r="DL60" s="52"/>
      <c r="DM60" s="52"/>
      <c r="DN60" s="52"/>
      <c r="DO60" s="52"/>
      <c r="DP60" s="53"/>
      <c r="DT60" s="41"/>
      <c r="DU60" s="55"/>
      <c r="DV60" s="56"/>
      <c r="DW60" s="57"/>
    </row>
    <row r="61" spans="1:256" ht="16.5" customHeight="1" thickTop="1" thickBo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4" t="str">
        <f t="shared" si="300"/>
        <v>sho.col</v>
      </c>
      <c r="P61" s="46">
        <f t="shared" si="296"/>
        <v>0</v>
      </c>
      <c r="Q61" s="46">
        <f t="shared" si="297"/>
        <v>0</v>
      </c>
      <c r="R61" s="46">
        <f t="shared" si="298"/>
        <v>0</v>
      </c>
      <c r="S61" s="46">
        <f t="shared" si="299"/>
        <v>0</v>
      </c>
      <c r="U61" s="289"/>
      <c r="V61" s="298"/>
      <c r="W61" s="15" t="s">
        <v>98</v>
      </c>
      <c r="X61" s="43">
        <v>10300</v>
      </c>
      <c r="Y61" s="43">
        <v>5200</v>
      </c>
      <c r="Z61" s="292">
        <v>0</v>
      </c>
      <c r="AA61" s="292">
        <v>0</v>
      </c>
      <c r="AB61" s="292">
        <v>0</v>
      </c>
      <c r="AC61" s="292">
        <v>0</v>
      </c>
      <c r="AD61" s="293"/>
      <c r="AE61" s="293"/>
      <c r="AJ61" s="306"/>
      <c r="AK61" s="307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4"/>
      <c r="AW61" s="43"/>
      <c r="AX61" s="43"/>
      <c r="AY61" s="43"/>
      <c r="AZ61" s="47"/>
      <c r="BA61" s="48"/>
      <c r="BB61" s="49"/>
      <c r="BC61" s="43"/>
      <c r="BD61" s="43"/>
      <c r="BE61" s="43"/>
      <c r="BF61" s="43"/>
      <c r="BG61" s="43"/>
      <c r="BH61" s="44"/>
      <c r="BI61" s="50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4"/>
      <c r="BY61" s="44"/>
      <c r="BZ61" s="43"/>
      <c r="CA61" s="43"/>
      <c r="CB61" s="43"/>
      <c r="CC61" s="43"/>
      <c r="CD61" s="51"/>
      <c r="CE61" s="1"/>
      <c r="CF61" s="1"/>
      <c r="CG61" s="43"/>
      <c r="CH61" s="43"/>
      <c r="CI61" s="43"/>
      <c r="CJ61" s="52"/>
      <c r="CK61" s="52"/>
      <c r="CL61" s="52"/>
      <c r="CM61" s="52"/>
      <c r="CN61" s="52"/>
      <c r="CO61" s="53"/>
      <c r="CP61" s="1"/>
      <c r="CQ61" s="43"/>
      <c r="CR61" s="43"/>
      <c r="CS61" s="52"/>
      <c r="CT61" s="52"/>
      <c r="CU61" s="52"/>
      <c r="CV61" s="52"/>
      <c r="CW61" s="52"/>
      <c r="CX61" s="53"/>
      <c r="CY61" s="1"/>
      <c r="CZ61" s="52"/>
      <c r="DA61" s="52"/>
      <c r="DB61" s="54"/>
      <c r="DC61" s="54"/>
      <c r="DD61" s="52"/>
      <c r="DE61" s="52"/>
      <c r="DF61" s="52"/>
      <c r="DG61" s="53"/>
      <c r="DH61" s="1"/>
      <c r="DI61" s="52"/>
      <c r="DJ61" s="52"/>
      <c r="DK61" s="52"/>
      <c r="DL61" s="52"/>
      <c r="DM61" s="52"/>
      <c r="DN61" s="52"/>
      <c r="DO61" s="52"/>
      <c r="DP61" s="53"/>
      <c r="DT61" s="41"/>
      <c r="DU61" s="55"/>
      <c r="DV61" s="56"/>
      <c r="DW61" s="57"/>
    </row>
    <row r="62" spans="1:256" ht="16.5" customHeight="1" thickTop="1" thickBot="1" x14ac:dyDescent="0.3">
      <c r="A62" s="42"/>
      <c r="B62" s="42"/>
      <c r="C62" s="42"/>
      <c r="D62" s="42"/>
      <c r="E62" s="42"/>
      <c r="F62" s="42"/>
      <c r="G62" s="42"/>
      <c r="H62" s="42"/>
      <c r="I62" s="94">
        <v>131.87</v>
      </c>
      <c r="J62" s="94">
        <v>-122.04</v>
      </c>
      <c r="K62" s="42"/>
      <c r="L62" s="42"/>
      <c r="M62" s="42"/>
      <c r="N62" s="44" t="str">
        <f t="shared" si="300"/>
        <v>sho.col</v>
      </c>
      <c r="P62" s="46">
        <f t="shared" si="296"/>
        <v>0</v>
      </c>
      <c r="Q62" s="46">
        <f>ABS(I62)</f>
        <v>131.87</v>
      </c>
      <c r="R62" s="46">
        <f>ABS(J62)</f>
        <v>122.04</v>
      </c>
      <c r="S62" s="46">
        <f t="shared" si="299"/>
        <v>0</v>
      </c>
      <c r="U62" s="302"/>
      <c r="V62" s="301"/>
      <c r="W62" s="15" t="s">
        <v>99</v>
      </c>
      <c r="X62" s="43">
        <f>(X59*X60^3/12)/X61</f>
        <v>2071197.4110032362</v>
      </c>
      <c r="Y62" s="43">
        <f>(Y59*Y60^3/12)/Y61</f>
        <v>4102564.1025641025</v>
      </c>
      <c r="Z62" s="295"/>
      <c r="AA62" s="295"/>
      <c r="AB62" s="295"/>
      <c r="AC62" s="295"/>
      <c r="AD62" s="294"/>
      <c r="AE62" s="294"/>
      <c r="AJ62" s="306"/>
      <c r="AK62" s="307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4"/>
      <c r="AW62" s="43"/>
      <c r="AX62" s="43"/>
      <c r="AY62" s="43"/>
      <c r="AZ62" s="47"/>
      <c r="BA62" s="48"/>
      <c r="BB62" s="49"/>
      <c r="BC62" s="43"/>
      <c r="BD62" s="43"/>
      <c r="BE62" s="43"/>
      <c r="BF62" s="43"/>
      <c r="BG62" s="43"/>
      <c r="BH62" s="44"/>
      <c r="BI62" s="50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4"/>
      <c r="BY62" s="44"/>
      <c r="BZ62" s="43"/>
      <c r="CA62" s="43"/>
      <c r="CB62" s="43"/>
      <c r="CC62" s="43"/>
      <c r="CD62" s="51"/>
      <c r="CE62" s="1"/>
      <c r="CF62" s="1"/>
      <c r="CG62" s="43"/>
      <c r="CH62" s="43"/>
      <c r="CI62" s="43"/>
      <c r="CJ62" s="52"/>
      <c r="CK62" s="52"/>
      <c r="CL62" s="52"/>
      <c r="CM62" s="52"/>
      <c r="CN62" s="52"/>
      <c r="CO62" s="53"/>
      <c r="CP62" s="1"/>
      <c r="CQ62" s="43"/>
      <c r="CR62" s="43"/>
      <c r="CS62" s="52"/>
      <c r="CT62" s="52"/>
      <c r="CU62" s="52"/>
      <c r="CV62" s="52"/>
      <c r="CW62" s="52"/>
      <c r="CX62" s="53"/>
      <c r="CY62" s="1"/>
      <c r="CZ62" s="52"/>
      <c r="DA62" s="52"/>
      <c r="DB62" s="54"/>
      <c r="DC62" s="54"/>
      <c r="DD62" s="52"/>
      <c r="DE62" s="52"/>
      <c r="DF62" s="52"/>
      <c r="DG62" s="53"/>
      <c r="DH62" s="1"/>
      <c r="DI62" s="52"/>
      <c r="DJ62" s="52"/>
      <c r="DK62" s="52"/>
      <c r="DL62" s="52"/>
      <c r="DM62" s="52"/>
      <c r="DN62" s="52"/>
      <c r="DO62" s="52"/>
      <c r="DP62" s="53"/>
      <c r="DT62" s="41"/>
      <c r="DU62" s="55"/>
      <c r="DV62" s="56"/>
      <c r="DW62" s="57"/>
    </row>
    <row r="63" spans="1:256" ht="16.5" customHeight="1" thickTop="1" thickBo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4" t="str">
        <f t="shared" si="300"/>
        <v>sho.col</v>
      </c>
      <c r="P63" s="46">
        <f t="shared" si="296"/>
        <v>0</v>
      </c>
      <c r="Q63" s="46">
        <f t="shared" si="297"/>
        <v>0</v>
      </c>
      <c r="R63" s="46">
        <f t="shared" si="298"/>
        <v>0</v>
      </c>
      <c r="S63" s="46">
        <f t="shared" si="299"/>
        <v>0</v>
      </c>
      <c r="U63" s="288" t="s">
        <v>15</v>
      </c>
      <c r="V63" s="300" t="s">
        <v>100</v>
      </c>
      <c r="W63" s="15" t="s">
        <v>86</v>
      </c>
      <c r="X63" s="43">
        <v>500</v>
      </c>
      <c r="Y63" s="43">
        <v>0</v>
      </c>
      <c r="Z63" s="292">
        <v>900</v>
      </c>
      <c r="AA63" s="292">
        <v>900</v>
      </c>
      <c r="AB63" s="292">
        <v>4350</v>
      </c>
      <c r="AC63" s="292">
        <f>(Z63*AA63^3/12)/AB63</f>
        <v>12568965.517241379</v>
      </c>
      <c r="AD63" s="292">
        <f>(0.7*(AC63+AC65))/(0.35*(X66+Y66))</f>
        <v>6.762136314655173</v>
      </c>
      <c r="AE63" s="292">
        <f>MIN(MIN(1,(0.7+0.05*(AD63+AD67))),MIN(1,(0.85+0.05*MIN(AD63,AD67))))</f>
        <v>0.9</v>
      </c>
      <c r="AJ63" s="306"/>
      <c r="AK63" s="307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4"/>
      <c r="AW63" s="43"/>
      <c r="AX63" s="43"/>
      <c r="AY63" s="43"/>
      <c r="AZ63" s="47"/>
      <c r="BA63" s="48"/>
      <c r="BB63" s="49"/>
      <c r="BC63" s="43"/>
      <c r="BD63" s="43"/>
      <c r="BE63" s="43"/>
      <c r="BF63" s="43"/>
      <c r="BG63" s="43"/>
      <c r="BH63" s="44"/>
      <c r="BI63" s="50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4"/>
      <c r="BY63" s="44"/>
      <c r="BZ63" s="43"/>
      <c r="CA63" s="43"/>
      <c r="CB63" s="43"/>
      <c r="CC63" s="43"/>
      <c r="CD63" s="51"/>
      <c r="CE63" s="1"/>
      <c r="CF63" s="1"/>
      <c r="CG63" s="43"/>
      <c r="CH63" s="43"/>
      <c r="CI63" s="43"/>
      <c r="CJ63" s="52"/>
      <c r="CK63" s="52"/>
      <c r="CL63" s="52"/>
      <c r="CM63" s="52"/>
      <c r="CN63" s="52"/>
      <c r="CO63" s="53"/>
      <c r="CP63" s="1"/>
      <c r="CQ63" s="43"/>
      <c r="CR63" s="43"/>
      <c r="CS63" s="52"/>
      <c r="CT63" s="52"/>
      <c r="CU63" s="52"/>
      <c r="CV63" s="52"/>
      <c r="CW63" s="52"/>
      <c r="CX63" s="53"/>
      <c r="CY63" s="1"/>
      <c r="CZ63" s="52"/>
      <c r="DA63" s="52"/>
      <c r="DB63" s="54"/>
      <c r="DC63" s="54"/>
      <c r="DD63" s="52"/>
      <c r="DE63" s="52"/>
      <c r="DF63" s="52"/>
      <c r="DG63" s="53"/>
      <c r="DH63" s="1"/>
      <c r="DI63" s="52"/>
      <c r="DJ63" s="52"/>
      <c r="DK63" s="52"/>
      <c r="DL63" s="52"/>
      <c r="DM63" s="52"/>
      <c r="DN63" s="52"/>
      <c r="DO63" s="52"/>
      <c r="DP63" s="53"/>
      <c r="DT63" s="41"/>
      <c r="DU63" s="55"/>
      <c r="DV63" s="56"/>
      <c r="DW63" s="57"/>
    </row>
    <row r="64" spans="1:256" ht="16.5" customHeight="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4" t="str">
        <f t="shared" si="300"/>
        <v>sho.col</v>
      </c>
      <c r="P64" s="46">
        <f t="shared" si="296"/>
        <v>0</v>
      </c>
      <c r="Q64" s="46">
        <f t="shared" si="297"/>
        <v>0</v>
      </c>
      <c r="R64" s="46">
        <f t="shared" si="298"/>
        <v>0</v>
      </c>
      <c r="S64" s="46">
        <f t="shared" si="299"/>
        <v>0</v>
      </c>
      <c r="U64" s="289"/>
      <c r="V64" s="298"/>
      <c r="W64" s="15" t="s">
        <v>97</v>
      </c>
      <c r="X64" s="43">
        <v>800</v>
      </c>
      <c r="Y64" s="43">
        <v>0</v>
      </c>
      <c r="Z64" s="295"/>
      <c r="AA64" s="295"/>
      <c r="AB64" s="295"/>
      <c r="AC64" s="295"/>
      <c r="AD64" s="293"/>
      <c r="AE64" s="293"/>
      <c r="AJ64" s="306"/>
      <c r="AK64" s="307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4"/>
      <c r="AW64" s="43"/>
      <c r="AX64" s="43"/>
      <c r="AY64" s="43"/>
      <c r="AZ64" s="47"/>
      <c r="BA64" s="48"/>
      <c r="BB64" s="49"/>
      <c r="BC64" s="43"/>
      <c r="BD64" s="43"/>
      <c r="BE64" s="43"/>
      <c r="BF64" s="43"/>
      <c r="BG64" s="43"/>
      <c r="BH64" s="44"/>
      <c r="BI64" s="50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4"/>
      <c r="BY64" s="44"/>
      <c r="BZ64" s="43"/>
      <c r="CA64" s="43"/>
      <c r="CB64" s="43"/>
      <c r="CC64" s="43"/>
      <c r="CD64" s="51"/>
      <c r="CE64" s="1"/>
      <c r="CF64" s="1"/>
      <c r="CG64" s="43"/>
      <c r="CH64" s="43"/>
      <c r="CI64" s="43"/>
      <c r="CJ64" s="52"/>
      <c r="CK64" s="52"/>
      <c r="CL64" s="52"/>
      <c r="CM64" s="52"/>
      <c r="CN64" s="52"/>
      <c r="CO64" s="53"/>
      <c r="CP64" s="1"/>
      <c r="CQ64" s="43"/>
      <c r="CR64" s="43"/>
      <c r="CS64" s="52"/>
      <c r="CT64" s="52"/>
      <c r="CU64" s="52"/>
      <c r="CV64" s="52"/>
      <c r="CW64" s="52"/>
      <c r="CX64" s="53"/>
      <c r="CY64" s="1"/>
      <c r="CZ64" s="52"/>
      <c r="DA64" s="52"/>
      <c r="DB64" s="54"/>
      <c r="DC64" s="54"/>
      <c r="DD64" s="52"/>
      <c r="DE64" s="52"/>
      <c r="DF64" s="52"/>
      <c r="DG64" s="53"/>
      <c r="DH64" s="1"/>
      <c r="DI64" s="52"/>
      <c r="DJ64" s="52"/>
      <c r="DK64" s="52"/>
      <c r="DL64" s="52"/>
      <c r="DM64" s="52"/>
      <c r="DN64" s="52"/>
      <c r="DO64" s="52"/>
      <c r="DP64" s="53"/>
      <c r="DT64" s="41"/>
      <c r="DU64" s="55"/>
      <c r="DV64" s="56"/>
      <c r="DW64" s="57"/>
    </row>
    <row r="65" spans="1:127" ht="16.5" customHeight="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4" t="str">
        <f t="shared" ref="N65:N96" si="301">IF(L65&lt;=M65,"sho.col","long.col")</f>
        <v>sho.col</v>
      </c>
      <c r="P65" s="46">
        <f t="shared" si="296"/>
        <v>0</v>
      </c>
      <c r="Q65" s="46">
        <f t="shared" si="297"/>
        <v>0</v>
      </c>
      <c r="R65" s="46">
        <f t="shared" si="298"/>
        <v>0</v>
      </c>
      <c r="S65" s="46">
        <f t="shared" si="299"/>
        <v>0</v>
      </c>
      <c r="U65" s="289"/>
      <c r="V65" s="298"/>
      <c r="W65" s="15" t="s">
        <v>98</v>
      </c>
      <c r="X65" s="43">
        <v>5200</v>
      </c>
      <c r="Y65" s="43">
        <v>0</v>
      </c>
      <c r="Z65" s="292">
        <f>D14</f>
        <v>200</v>
      </c>
      <c r="AA65" s="292">
        <f>E14</f>
        <v>500</v>
      </c>
      <c r="AB65" s="292">
        <f>F14</f>
        <v>1600</v>
      </c>
      <c r="AC65" s="292">
        <f>(Z65*AA65^3/12)/AB65</f>
        <v>1302083.3333333333</v>
      </c>
      <c r="AD65" s="293"/>
      <c r="AE65" s="293"/>
      <c r="AJ65" s="306"/>
      <c r="AK65" s="307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4"/>
      <c r="AW65" s="43"/>
      <c r="AX65" s="43"/>
      <c r="AY65" s="43"/>
      <c r="AZ65" s="47"/>
      <c r="BA65" s="48"/>
      <c r="BB65" s="49"/>
      <c r="BC65" s="43"/>
      <c r="BD65" s="43"/>
      <c r="BE65" s="43"/>
      <c r="BF65" s="43"/>
      <c r="BG65" s="43"/>
      <c r="BH65" s="44"/>
      <c r="BI65" s="50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4"/>
      <c r="BY65" s="44"/>
      <c r="BZ65" s="43"/>
      <c r="CA65" s="43"/>
      <c r="CB65" s="43"/>
      <c r="CC65" s="43"/>
      <c r="CD65" s="51"/>
      <c r="CE65" s="1"/>
      <c r="CF65" s="1"/>
      <c r="CG65" s="43"/>
      <c r="CH65" s="43"/>
      <c r="CI65" s="43"/>
      <c r="CJ65" s="52"/>
      <c r="CK65" s="52"/>
      <c r="CL65" s="52"/>
      <c r="CM65" s="52"/>
      <c r="CN65" s="52"/>
      <c r="CO65" s="53"/>
      <c r="CP65" s="1"/>
      <c r="CQ65" s="43"/>
      <c r="CR65" s="43"/>
      <c r="CS65" s="52"/>
      <c r="CT65" s="52"/>
      <c r="CU65" s="52"/>
      <c r="CV65" s="52"/>
      <c r="CW65" s="52"/>
      <c r="CX65" s="53"/>
      <c r="CY65" s="1"/>
      <c r="CZ65" s="52"/>
      <c r="DA65" s="52"/>
      <c r="DB65" s="54"/>
      <c r="DC65" s="54"/>
      <c r="DD65" s="52"/>
      <c r="DE65" s="52"/>
      <c r="DF65" s="52"/>
      <c r="DG65" s="53"/>
      <c r="DH65" s="1"/>
      <c r="DI65" s="52"/>
      <c r="DJ65" s="52"/>
      <c r="DK65" s="52"/>
      <c r="DL65" s="52"/>
      <c r="DM65" s="52"/>
      <c r="DN65" s="52"/>
      <c r="DO65" s="52"/>
      <c r="DP65" s="53"/>
      <c r="DT65" s="41"/>
      <c r="DU65" s="55"/>
      <c r="DV65" s="56"/>
      <c r="DW65" s="57"/>
    </row>
    <row r="66" spans="1:127" ht="16.5" customHeight="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4" t="str">
        <f t="shared" si="301"/>
        <v>sho.col</v>
      </c>
      <c r="P66" s="46">
        <f t="shared" si="296"/>
        <v>0</v>
      </c>
      <c r="Q66" s="46">
        <f t="shared" si="297"/>
        <v>0</v>
      </c>
      <c r="R66" s="46">
        <f t="shared" si="298"/>
        <v>0</v>
      </c>
      <c r="S66" s="46">
        <f t="shared" si="299"/>
        <v>0</v>
      </c>
      <c r="U66" s="289"/>
      <c r="V66" s="301"/>
      <c r="W66" s="15" t="s">
        <v>99</v>
      </c>
      <c r="X66" s="43">
        <f>(X63*X64^3/12)/X65</f>
        <v>4102564.1025641025</v>
      </c>
      <c r="Y66" s="43">
        <v>0</v>
      </c>
      <c r="Z66" s="293"/>
      <c r="AA66" s="293"/>
      <c r="AB66" s="293"/>
      <c r="AC66" s="295"/>
      <c r="AD66" s="294"/>
      <c r="AE66" s="293"/>
      <c r="AJ66" s="306"/>
      <c r="AK66" s="307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4"/>
      <c r="AW66" s="43"/>
      <c r="AX66" s="43"/>
      <c r="AY66" s="43"/>
      <c r="AZ66" s="47"/>
      <c r="BA66" s="48"/>
      <c r="BB66" s="49"/>
      <c r="BD66" s="43"/>
      <c r="BE66" s="43"/>
      <c r="BF66" s="43"/>
      <c r="BG66" s="43"/>
      <c r="BH66" s="44"/>
      <c r="BI66" s="50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4"/>
      <c r="BY66" s="44"/>
      <c r="BZ66" s="43"/>
      <c r="CA66" s="43"/>
      <c r="CB66" s="43"/>
      <c r="CC66" s="43"/>
      <c r="CD66" s="51"/>
      <c r="CE66" s="1"/>
      <c r="CF66" s="1"/>
      <c r="CG66" s="43"/>
      <c r="CH66" s="43"/>
      <c r="CI66" s="43"/>
      <c r="CJ66" s="52"/>
      <c r="CK66" s="52"/>
      <c r="CL66" s="52"/>
      <c r="CM66" s="52"/>
      <c r="CN66" s="52"/>
      <c r="CO66" s="53"/>
      <c r="CP66" s="1"/>
      <c r="CQ66" s="43"/>
      <c r="CR66" s="43"/>
      <c r="CS66" s="52"/>
      <c r="CT66" s="52"/>
      <c r="CU66" s="52"/>
      <c r="CV66" s="52"/>
      <c r="CW66" s="52"/>
      <c r="CX66" s="53"/>
      <c r="CY66" s="1"/>
      <c r="CZ66" s="52"/>
      <c r="DA66" s="52"/>
      <c r="DB66" s="54"/>
      <c r="DC66" s="54"/>
      <c r="DD66" s="52"/>
      <c r="DE66" s="52"/>
      <c r="DF66" s="52"/>
      <c r="DG66" s="53"/>
      <c r="DH66" s="1"/>
      <c r="DI66" s="52"/>
      <c r="DJ66" s="52"/>
      <c r="DK66" s="52"/>
      <c r="DL66" s="52"/>
      <c r="DM66" s="52"/>
      <c r="DN66" s="52"/>
      <c r="DO66" s="52"/>
      <c r="DP66" s="53"/>
      <c r="DT66" s="41"/>
      <c r="DU66" s="55"/>
      <c r="DV66" s="56"/>
      <c r="DW66" s="57"/>
    </row>
    <row r="67" spans="1:127" ht="16.5" customHeight="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4" t="str">
        <f t="shared" si="301"/>
        <v>sho.col</v>
      </c>
      <c r="P67" s="46">
        <f t="shared" si="296"/>
        <v>0</v>
      </c>
      <c r="Q67" s="46">
        <f t="shared" si="297"/>
        <v>0</v>
      </c>
      <c r="R67" s="46">
        <f t="shared" si="298"/>
        <v>0</v>
      </c>
      <c r="S67" s="46">
        <f t="shared" si="299"/>
        <v>0</v>
      </c>
      <c r="U67" s="289"/>
      <c r="V67" s="300" t="s">
        <v>101</v>
      </c>
      <c r="W67" s="15" t="s">
        <v>86</v>
      </c>
      <c r="X67" s="43">
        <v>500</v>
      </c>
      <c r="Y67" s="43">
        <v>0</v>
      </c>
      <c r="Z67" s="293">
        <v>500</v>
      </c>
      <c r="AA67" s="293">
        <v>501</v>
      </c>
      <c r="AB67" s="293">
        <v>502</v>
      </c>
      <c r="AC67" s="292">
        <v>0</v>
      </c>
      <c r="AD67" s="292">
        <v>1</v>
      </c>
      <c r="AE67" s="293"/>
      <c r="AJ67" s="306"/>
      <c r="AK67" s="307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4"/>
      <c r="AW67" s="43"/>
      <c r="AX67" s="43"/>
      <c r="AY67" s="43"/>
      <c r="AZ67" s="47"/>
      <c r="BA67" s="48"/>
      <c r="BB67" s="49"/>
      <c r="BD67" s="43"/>
      <c r="BE67" s="43"/>
      <c r="BF67" s="43"/>
      <c r="BG67" s="43"/>
      <c r="BH67" s="44"/>
      <c r="BI67" s="50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4"/>
      <c r="BY67" s="44"/>
      <c r="BZ67" s="43"/>
      <c r="CA67" s="43"/>
      <c r="CB67" s="43"/>
      <c r="CC67" s="43"/>
      <c r="CD67" s="51"/>
      <c r="CE67" s="1"/>
      <c r="CF67" s="1"/>
      <c r="CG67" s="43"/>
      <c r="CH67" s="43"/>
      <c r="CI67" s="43"/>
      <c r="CJ67" s="52"/>
      <c r="CK67" s="52"/>
      <c r="CL67" s="52"/>
      <c r="CM67" s="52"/>
      <c r="CN67" s="52"/>
      <c r="CO67" s="53"/>
      <c r="CP67" s="1"/>
      <c r="CQ67" s="43"/>
      <c r="CR67" s="43"/>
      <c r="CS67" s="52"/>
      <c r="CT67" s="52"/>
      <c r="CU67" s="52"/>
      <c r="CV67" s="52"/>
      <c r="CW67" s="52"/>
      <c r="CX67" s="53"/>
      <c r="CY67" s="1"/>
      <c r="CZ67" s="52"/>
      <c r="DA67" s="52"/>
      <c r="DB67" s="54"/>
      <c r="DC67" s="54"/>
      <c r="DD67" s="52"/>
      <c r="DE67" s="52"/>
      <c r="DF67" s="52"/>
      <c r="DG67" s="53"/>
      <c r="DH67" s="1"/>
      <c r="DI67" s="52"/>
      <c r="DJ67" s="52"/>
      <c r="DK67" s="52"/>
      <c r="DL67" s="52"/>
      <c r="DM67" s="52"/>
      <c r="DN67" s="52"/>
      <c r="DO67" s="52"/>
      <c r="DP67" s="53"/>
      <c r="DT67" s="41"/>
      <c r="DU67" s="55"/>
      <c r="DV67" s="56"/>
      <c r="DW67" s="57"/>
    </row>
    <row r="68" spans="1:127" ht="16.5" customHeight="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4" t="str">
        <f t="shared" si="301"/>
        <v>sho.col</v>
      </c>
      <c r="P68" s="46">
        <f t="shared" si="296"/>
        <v>0</v>
      </c>
      <c r="Q68" s="46">
        <f t="shared" si="297"/>
        <v>0</v>
      </c>
      <c r="R68" s="46">
        <f t="shared" si="298"/>
        <v>0</v>
      </c>
      <c r="S68" s="46">
        <f t="shared" si="299"/>
        <v>0</v>
      </c>
      <c r="U68" s="289"/>
      <c r="V68" s="298"/>
      <c r="W68" s="15" t="s">
        <v>97</v>
      </c>
      <c r="X68" s="43">
        <v>800</v>
      </c>
      <c r="Y68" s="43">
        <v>0</v>
      </c>
      <c r="Z68" s="295"/>
      <c r="AA68" s="295"/>
      <c r="AB68" s="295"/>
      <c r="AC68" s="295"/>
      <c r="AD68" s="293"/>
      <c r="AE68" s="293"/>
      <c r="AJ68" s="306"/>
      <c r="AK68" s="307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4"/>
      <c r="AW68" s="43"/>
      <c r="AX68" s="43"/>
      <c r="AY68" s="43"/>
      <c r="AZ68" s="47"/>
      <c r="BA68" s="48"/>
      <c r="BB68" s="49"/>
      <c r="BD68" s="43"/>
      <c r="BE68" s="43"/>
      <c r="BF68" s="43"/>
      <c r="BG68" s="43"/>
      <c r="BH68" s="44"/>
      <c r="BI68" s="50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4"/>
      <c r="BY68" s="44"/>
      <c r="BZ68" s="43"/>
      <c r="CA68" s="43"/>
      <c r="CB68" s="43"/>
      <c r="CC68" s="43"/>
      <c r="CD68" s="51"/>
      <c r="CE68" s="1"/>
      <c r="CF68" s="1"/>
      <c r="CG68" s="43"/>
      <c r="CH68" s="43"/>
      <c r="CI68" s="43"/>
      <c r="CJ68" s="52"/>
      <c r="CK68" s="52"/>
      <c r="CL68" s="52"/>
      <c r="CM68" s="52"/>
      <c r="CN68" s="52"/>
      <c r="CO68" s="53"/>
      <c r="CP68" s="1"/>
      <c r="CQ68" s="43"/>
      <c r="CR68" s="43"/>
      <c r="CS68" s="52"/>
      <c r="CT68" s="52"/>
      <c r="CU68" s="52"/>
      <c r="CV68" s="52"/>
      <c r="CW68" s="52"/>
      <c r="CX68" s="53"/>
      <c r="CY68" s="1"/>
      <c r="CZ68" s="52"/>
      <c r="DA68" s="52"/>
      <c r="DB68" s="54"/>
      <c r="DC68" s="54"/>
      <c r="DD68" s="52"/>
      <c r="DE68" s="52"/>
      <c r="DF68" s="52"/>
      <c r="DG68" s="53"/>
      <c r="DH68" s="1"/>
      <c r="DI68" s="52"/>
      <c r="DJ68" s="52"/>
      <c r="DK68" s="52"/>
      <c r="DL68" s="52"/>
      <c r="DM68" s="52"/>
      <c r="DN68" s="52"/>
      <c r="DO68" s="52"/>
      <c r="DP68" s="53"/>
      <c r="DT68" s="41"/>
      <c r="DU68" s="55"/>
      <c r="DV68" s="56"/>
      <c r="DW68" s="57"/>
    </row>
    <row r="69" spans="1:127" ht="16.5" customHeight="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4" t="str">
        <f t="shared" si="301"/>
        <v>sho.col</v>
      </c>
      <c r="P69" s="46">
        <f t="shared" si="296"/>
        <v>0</v>
      </c>
      <c r="Q69" s="46">
        <f t="shared" si="297"/>
        <v>0</v>
      </c>
      <c r="R69" s="46">
        <f t="shared" si="298"/>
        <v>0</v>
      </c>
      <c r="S69" s="46">
        <f t="shared" si="299"/>
        <v>0</v>
      </c>
      <c r="U69" s="289"/>
      <c r="V69" s="298"/>
      <c r="W69" s="15" t="s">
        <v>98</v>
      </c>
      <c r="X69" s="43">
        <v>5200</v>
      </c>
      <c r="Y69" s="43">
        <v>0</v>
      </c>
      <c r="Z69" s="292">
        <v>0</v>
      </c>
      <c r="AA69" s="292">
        <v>0</v>
      </c>
      <c r="AB69" s="292">
        <v>0</v>
      </c>
      <c r="AC69" s="292">
        <v>0</v>
      </c>
      <c r="AD69" s="293"/>
      <c r="AE69" s="293"/>
      <c r="AJ69" s="306"/>
      <c r="AK69" s="307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4"/>
      <c r="AW69" s="43"/>
      <c r="AX69" s="43"/>
      <c r="AY69" s="43"/>
      <c r="AZ69" s="47"/>
      <c r="BA69" s="48"/>
      <c r="BB69" s="49"/>
      <c r="BD69" s="43"/>
      <c r="BE69" s="43"/>
      <c r="BF69" s="43"/>
      <c r="BG69" s="43"/>
      <c r="BH69" s="44"/>
      <c r="BI69" s="50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4"/>
      <c r="BY69" s="44"/>
      <c r="BZ69" s="43"/>
      <c r="CA69" s="43"/>
      <c r="CB69" s="43"/>
      <c r="CC69" s="43"/>
      <c r="CD69" s="51"/>
      <c r="CE69" s="1"/>
      <c r="CF69" s="1"/>
      <c r="CG69" s="43"/>
      <c r="CH69" s="43"/>
      <c r="CI69" s="43"/>
      <c r="CJ69" s="52"/>
      <c r="CK69" s="52"/>
      <c r="CL69" s="52"/>
      <c r="CM69" s="52"/>
      <c r="CN69" s="52"/>
      <c r="CO69" s="53"/>
      <c r="CP69" s="1"/>
      <c r="CQ69" s="43"/>
      <c r="CR69" s="43"/>
      <c r="CS69" s="52"/>
      <c r="CT69" s="52"/>
      <c r="CU69" s="52"/>
      <c r="CV69" s="52"/>
      <c r="CW69" s="52"/>
      <c r="CX69" s="53"/>
      <c r="CY69" s="1"/>
      <c r="CZ69" s="52"/>
      <c r="DA69" s="52"/>
      <c r="DB69" s="54"/>
      <c r="DC69" s="54"/>
      <c r="DD69" s="52"/>
      <c r="DE69" s="52"/>
      <c r="DF69" s="52"/>
      <c r="DG69" s="53"/>
      <c r="DH69" s="1"/>
      <c r="DI69" s="52"/>
      <c r="DJ69" s="52"/>
      <c r="DK69" s="52"/>
      <c r="DL69" s="52"/>
      <c r="DM69" s="52"/>
      <c r="DN69" s="52"/>
      <c r="DO69" s="52"/>
      <c r="DP69" s="53"/>
      <c r="DT69" s="41"/>
      <c r="DU69" s="55"/>
      <c r="DV69" s="56"/>
      <c r="DW69" s="57"/>
    </row>
    <row r="70" spans="1:127" ht="16.5" customHeight="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4" t="str">
        <f t="shared" si="301"/>
        <v>sho.col</v>
      </c>
      <c r="P70" s="46">
        <f t="shared" si="296"/>
        <v>0</v>
      </c>
      <c r="Q70" s="46">
        <f t="shared" si="297"/>
        <v>0</v>
      </c>
      <c r="R70" s="46">
        <f t="shared" si="298"/>
        <v>0</v>
      </c>
      <c r="S70" s="46">
        <f t="shared" si="299"/>
        <v>0</v>
      </c>
      <c r="U70" s="302"/>
      <c r="V70" s="301"/>
      <c r="W70" s="15" t="s">
        <v>99</v>
      </c>
      <c r="X70" s="43">
        <f>(X67*X68^3/12)/X69</f>
        <v>4102564.1025641025</v>
      </c>
      <c r="Y70" s="43">
        <v>0</v>
      </c>
      <c r="Z70" s="295"/>
      <c r="AA70" s="295"/>
      <c r="AB70" s="295"/>
      <c r="AC70" s="295"/>
      <c r="AD70" s="294"/>
      <c r="AE70" s="294"/>
      <c r="AJ70" s="306"/>
      <c r="AK70" s="307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4"/>
      <c r="AW70" s="43"/>
      <c r="AX70" s="43"/>
      <c r="AY70" s="43"/>
      <c r="AZ70" s="47"/>
      <c r="BA70" s="48"/>
      <c r="BB70" s="49"/>
      <c r="BD70" s="43"/>
      <c r="BE70" s="43"/>
      <c r="BF70" s="43"/>
      <c r="BG70" s="43"/>
      <c r="BH70" s="44"/>
      <c r="BI70" s="50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4"/>
      <c r="BY70" s="44"/>
      <c r="BZ70" s="43"/>
      <c r="CA70" s="43"/>
      <c r="CB70" s="43"/>
      <c r="CC70" s="43"/>
      <c r="CD70" s="51"/>
      <c r="CE70" s="1"/>
      <c r="CF70" s="1"/>
      <c r="CG70" s="43"/>
      <c r="CH70" s="43"/>
      <c r="CI70" s="43"/>
      <c r="CJ70" s="52"/>
      <c r="CK70" s="52"/>
      <c r="CL70" s="52"/>
      <c r="CM70" s="52"/>
      <c r="CN70" s="52"/>
      <c r="CO70" s="53"/>
      <c r="CP70" s="1"/>
      <c r="CQ70" s="43"/>
      <c r="CR70" s="43"/>
      <c r="CS70" s="52"/>
      <c r="CT70" s="52"/>
      <c r="CU70" s="52"/>
      <c r="CV70" s="52"/>
      <c r="CW70" s="52"/>
      <c r="CX70" s="53"/>
      <c r="CY70" s="1"/>
      <c r="CZ70" s="52"/>
      <c r="DA70" s="52"/>
      <c r="DB70" s="54"/>
      <c r="DC70" s="54"/>
      <c r="DD70" s="52"/>
      <c r="DE70" s="52"/>
      <c r="DF70" s="52"/>
      <c r="DG70" s="53"/>
      <c r="DH70" s="1"/>
      <c r="DI70" s="52"/>
      <c r="DJ70" s="52"/>
      <c r="DK70" s="52"/>
      <c r="DL70" s="52"/>
      <c r="DM70" s="52"/>
      <c r="DN70" s="52"/>
      <c r="DO70" s="52"/>
      <c r="DP70" s="53"/>
      <c r="DT70" s="41"/>
      <c r="DU70" s="55"/>
      <c r="DV70" s="56"/>
      <c r="DW70" s="57"/>
    </row>
    <row r="71" spans="1:127" ht="16.5" customHeight="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4" t="str">
        <f t="shared" si="301"/>
        <v>sho.col</v>
      </c>
      <c r="P71" s="46">
        <f t="shared" si="296"/>
        <v>0</v>
      </c>
      <c r="Q71" s="46">
        <f t="shared" si="297"/>
        <v>0</v>
      </c>
      <c r="R71" s="46">
        <f t="shared" si="298"/>
        <v>0</v>
      </c>
      <c r="S71" s="46">
        <f t="shared" si="299"/>
        <v>0</v>
      </c>
      <c r="U71" s="288" t="s">
        <v>16</v>
      </c>
      <c r="V71" s="300" t="s">
        <v>100</v>
      </c>
      <c r="W71" s="15" t="s">
        <v>86</v>
      </c>
      <c r="X71" s="43">
        <v>500</v>
      </c>
      <c r="Y71" s="43">
        <v>500</v>
      </c>
      <c r="Z71" s="292">
        <v>1100</v>
      </c>
      <c r="AA71" s="292">
        <v>1100</v>
      </c>
      <c r="AB71" s="292">
        <v>4350</v>
      </c>
      <c r="AC71" s="292">
        <f>(Z71*AA71^3/12)/AB71</f>
        <v>28047892.720306512</v>
      </c>
      <c r="AD71" s="292">
        <f>(0.7*(AC71+AC73))/(0.35*(X74+Y74))</f>
        <v>9.5079720812476829</v>
      </c>
      <c r="AE71" s="292">
        <f>MIN(MIN(1,(0.7+0.05*(AD71+AD75))),MIN(1,(0.85+0.05*MIN(AD71,AD75))))</f>
        <v>0.9</v>
      </c>
      <c r="AJ71" s="306"/>
      <c r="AK71" s="307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4"/>
      <c r="AW71" s="43"/>
      <c r="AX71" s="43"/>
      <c r="AY71" s="43"/>
      <c r="AZ71" s="47"/>
      <c r="BA71" s="48"/>
      <c r="BB71" s="49"/>
      <c r="BD71" s="43"/>
      <c r="BE71" s="43"/>
      <c r="BF71" s="43"/>
      <c r="BG71" s="43"/>
      <c r="BH71" s="44"/>
      <c r="BI71" s="50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4"/>
      <c r="BY71" s="44"/>
      <c r="BZ71" s="43"/>
      <c r="CA71" s="43"/>
      <c r="CB71" s="43"/>
      <c r="CC71" s="43"/>
      <c r="CD71" s="51"/>
      <c r="CE71" s="1"/>
      <c r="CF71" s="1"/>
      <c r="CG71" s="43"/>
      <c r="CH71" s="43"/>
      <c r="CI71" s="43"/>
      <c r="CJ71" s="52"/>
      <c r="CK71" s="52"/>
      <c r="CL71" s="52"/>
      <c r="CM71" s="52"/>
      <c r="CN71" s="52"/>
      <c r="CO71" s="53"/>
      <c r="CP71" s="1"/>
      <c r="CQ71" s="43"/>
      <c r="CR71" s="43"/>
      <c r="CS71" s="52"/>
      <c r="CT71" s="52"/>
      <c r="CU71" s="52"/>
      <c r="CV71" s="52"/>
      <c r="CW71" s="52"/>
      <c r="CX71" s="53"/>
      <c r="CY71" s="1"/>
      <c r="CZ71" s="52"/>
      <c r="DA71" s="52"/>
      <c r="DB71" s="54"/>
      <c r="DC71" s="54"/>
      <c r="DD71" s="52"/>
      <c r="DE71" s="52"/>
      <c r="DF71" s="52"/>
      <c r="DG71" s="53"/>
      <c r="DH71" s="1"/>
      <c r="DI71" s="52"/>
      <c r="DJ71" s="52"/>
      <c r="DK71" s="52"/>
      <c r="DL71" s="52"/>
      <c r="DM71" s="52"/>
      <c r="DN71" s="52"/>
      <c r="DO71" s="52"/>
      <c r="DP71" s="53"/>
      <c r="DT71" s="41"/>
      <c r="DU71" s="55"/>
      <c r="DV71" s="56"/>
      <c r="DW71" s="57"/>
    </row>
    <row r="72" spans="1:127" ht="16.5" customHeight="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4" t="str">
        <f t="shared" si="301"/>
        <v>sho.col</v>
      </c>
      <c r="P72" s="46">
        <f t="shared" si="296"/>
        <v>0</v>
      </c>
      <c r="Q72" s="46">
        <f t="shared" si="297"/>
        <v>0</v>
      </c>
      <c r="R72" s="46">
        <f t="shared" si="298"/>
        <v>0</v>
      </c>
      <c r="S72" s="46">
        <f t="shared" si="299"/>
        <v>0</v>
      </c>
      <c r="U72" s="289"/>
      <c r="V72" s="298"/>
      <c r="W72" s="15" t="s">
        <v>97</v>
      </c>
      <c r="X72" s="43">
        <v>800</v>
      </c>
      <c r="Y72" s="43">
        <v>800</v>
      </c>
      <c r="Z72" s="295"/>
      <c r="AA72" s="295"/>
      <c r="AB72" s="295"/>
      <c r="AC72" s="295"/>
      <c r="AD72" s="293"/>
      <c r="AE72" s="293"/>
      <c r="AJ72" s="306"/>
      <c r="AK72" s="307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4"/>
      <c r="AW72" s="43"/>
      <c r="AX72" s="43"/>
      <c r="AY72" s="43"/>
      <c r="AZ72" s="47"/>
      <c r="BA72" s="48"/>
      <c r="BB72" s="49"/>
      <c r="BD72" s="43"/>
      <c r="BE72" s="43"/>
      <c r="BF72" s="43"/>
      <c r="BG72" s="43"/>
      <c r="BH72" s="44"/>
      <c r="BI72" s="50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4"/>
      <c r="BY72" s="44"/>
      <c r="BZ72" s="43"/>
      <c r="CA72" s="43"/>
      <c r="CB72" s="43"/>
      <c r="CC72" s="43"/>
      <c r="CD72" s="51"/>
      <c r="CE72" s="1"/>
      <c r="CF72" s="1"/>
      <c r="CG72" s="43"/>
      <c r="CH72" s="43"/>
      <c r="CI72" s="43"/>
      <c r="CJ72" s="52"/>
      <c r="CK72" s="52"/>
      <c r="CL72" s="52"/>
      <c r="CM72" s="52"/>
      <c r="CN72" s="52"/>
      <c r="CO72" s="53"/>
      <c r="CP72" s="1"/>
      <c r="CQ72" s="43"/>
      <c r="CR72" s="43"/>
      <c r="CS72" s="52"/>
      <c r="CT72" s="52"/>
      <c r="CU72" s="52"/>
      <c r="CV72" s="52"/>
      <c r="CW72" s="52"/>
      <c r="CX72" s="53"/>
      <c r="CY72" s="1"/>
      <c r="CZ72" s="52"/>
      <c r="DA72" s="52"/>
      <c r="DB72" s="54"/>
      <c r="DC72" s="54"/>
      <c r="DD72" s="52"/>
      <c r="DE72" s="52"/>
      <c r="DF72" s="52"/>
      <c r="DG72" s="53"/>
      <c r="DH72" s="1"/>
      <c r="DI72" s="52"/>
      <c r="DJ72" s="52"/>
      <c r="DK72" s="52"/>
      <c r="DL72" s="52"/>
      <c r="DM72" s="52"/>
      <c r="DN72" s="52"/>
      <c r="DO72" s="52"/>
      <c r="DP72" s="53"/>
      <c r="DT72" s="41"/>
      <c r="DU72" s="55"/>
      <c r="DV72" s="56"/>
      <c r="DW72" s="57"/>
    </row>
    <row r="73" spans="1:127" ht="16.5" customHeight="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4" t="str">
        <f t="shared" si="301"/>
        <v>sho.col</v>
      </c>
      <c r="P73" s="46">
        <f t="shared" si="296"/>
        <v>0</v>
      </c>
      <c r="Q73" s="46">
        <f t="shared" si="297"/>
        <v>0</v>
      </c>
      <c r="R73" s="46">
        <f t="shared" si="298"/>
        <v>0</v>
      </c>
      <c r="S73" s="46">
        <f t="shared" si="299"/>
        <v>0</v>
      </c>
      <c r="U73" s="289"/>
      <c r="V73" s="298"/>
      <c r="W73" s="15" t="s">
        <v>98</v>
      </c>
      <c r="X73" s="43">
        <v>10300</v>
      </c>
      <c r="Y73" s="43">
        <v>5200</v>
      </c>
      <c r="Z73" s="292">
        <f>D15</f>
        <v>200</v>
      </c>
      <c r="AA73" s="292">
        <f>E15</f>
        <v>500</v>
      </c>
      <c r="AB73" s="292">
        <f>F15</f>
        <v>1600</v>
      </c>
      <c r="AC73" s="292">
        <f>(Z73*AA73^3/12)/AB73</f>
        <v>1302083.3333333333</v>
      </c>
      <c r="AD73" s="293"/>
      <c r="AE73" s="293"/>
      <c r="AJ73" s="306"/>
      <c r="AK73" s="307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4"/>
      <c r="AW73" s="43"/>
      <c r="AX73" s="43"/>
      <c r="AY73" s="43"/>
      <c r="AZ73" s="47"/>
      <c r="BA73" s="48"/>
      <c r="BB73" s="49"/>
      <c r="BD73" s="43"/>
      <c r="BE73" s="43"/>
      <c r="BF73" s="43"/>
      <c r="BG73" s="43"/>
      <c r="BH73" s="44"/>
      <c r="BI73" s="50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4"/>
      <c r="BY73" s="44"/>
      <c r="BZ73" s="43"/>
      <c r="CA73" s="43"/>
      <c r="CB73" s="43"/>
      <c r="CC73" s="43"/>
      <c r="CD73" s="51"/>
      <c r="CE73" s="1"/>
      <c r="CF73" s="1"/>
      <c r="CG73" s="43"/>
      <c r="CH73" s="43"/>
      <c r="CI73" s="43"/>
      <c r="CJ73" s="52"/>
      <c r="CK73" s="52"/>
      <c r="CL73" s="52"/>
      <c r="CM73" s="52"/>
      <c r="CN73" s="52"/>
      <c r="CO73" s="53"/>
      <c r="CP73" s="1"/>
      <c r="CQ73" s="43"/>
      <c r="CR73" s="43"/>
      <c r="CS73" s="52"/>
      <c r="CT73" s="52"/>
      <c r="CU73" s="52"/>
      <c r="CV73" s="52"/>
      <c r="CW73" s="52"/>
      <c r="CX73" s="53"/>
      <c r="CY73" s="1"/>
      <c r="CZ73" s="52"/>
      <c r="DA73" s="52"/>
      <c r="DB73" s="54"/>
      <c r="DC73" s="54"/>
      <c r="DD73" s="52"/>
      <c r="DE73" s="52"/>
      <c r="DF73" s="52"/>
      <c r="DG73" s="53"/>
      <c r="DH73" s="1"/>
      <c r="DI73" s="52"/>
      <c r="DJ73" s="52"/>
      <c r="DK73" s="52"/>
      <c r="DL73" s="52"/>
      <c r="DM73" s="52"/>
      <c r="DN73" s="52"/>
      <c r="DO73" s="52"/>
      <c r="DP73" s="53"/>
      <c r="DT73" s="41"/>
      <c r="DU73" s="55"/>
      <c r="DV73" s="56"/>
      <c r="DW73" s="57"/>
    </row>
    <row r="74" spans="1:127" ht="16.5" customHeight="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4" t="str">
        <f t="shared" si="301"/>
        <v>sho.col</v>
      </c>
      <c r="P74" s="46">
        <f t="shared" si="296"/>
        <v>0</v>
      </c>
      <c r="Q74" s="46">
        <f t="shared" si="297"/>
        <v>0</v>
      </c>
      <c r="R74" s="46">
        <f t="shared" si="298"/>
        <v>0</v>
      </c>
      <c r="S74" s="46">
        <f t="shared" si="299"/>
        <v>0</v>
      </c>
      <c r="U74" s="289"/>
      <c r="V74" s="301"/>
      <c r="W74" s="15" t="s">
        <v>99</v>
      </c>
      <c r="X74" s="43">
        <f>(X71*X72^3/12)/X73</f>
        <v>2071197.4110032362</v>
      </c>
      <c r="Y74" s="43">
        <f>(Y71*Y72^3/12)/Y73</f>
        <v>4102564.1025641025</v>
      </c>
      <c r="Z74" s="293"/>
      <c r="AA74" s="293"/>
      <c r="AB74" s="293"/>
      <c r="AC74" s="295"/>
      <c r="AD74" s="294"/>
      <c r="AE74" s="293"/>
      <c r="AJ74" s="306"/>
      <c r="AK74" s="307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4"/>
      <c r="AW74" s="43"/>
      <c r="AX74" s="43"/>
      <c r="AY74" s="43"/>
      <c r="AZ74" s="47"/>
      <c r="BA74" s="48"/>
      <c r="BB74" s="49"/>
      <c r="BD74" s="43"/>
      <c r="BE74" s="43"/>
      <c r="BF74" s="43"/>
      <c r="BG74" s="43"/>
      <c r="BH74" s="44"/>
      <c r="BI74" s="50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4"/>
      <c r="BY74" s="44"/>
      <c r="BZ74" s="43"/>
      <c r="CA74" s="43"/>
      <c r="CB74" s="43"/>
      <c r="CC74" s="43"/>
      <c r="CD74" s="51"/>
      <c r="CE74" s="1"/>
      <c r="CF74" s="1"/>
      <c r="CG74" s="43"/>
      <c r="CH74" s="43"/>
      <c r="CI74" s="43"/>
      <c r="CJ74" s="52"/>
      <c r="CK74" s="52"/>
      <c r="CL74" s="52"/>
      <c r="CM74" s="52"/>
      <c r="CN74" s="52"/>
      <c r="CO74" s="53"/>
      <c r="CP74" s="1"/>
      <c r="CQ74" s="43"/>
      <c r="CR74" s="43"/>
      <c r="CS74" s="52"/>
      <c r="CT74" s="52"/>
      <c r="CU74" s="52"/>
      <c r="CV74" s="52"/>
      <c r="CW74" s="52"/>
      <c r="CX74" s="53"/>
      <c r="CY74" s="1"/>
      <c r="CZ74" s="52"/>
      <c r="DA74" s="52"/>
      <c r="DB74" s="54"/>
      <c r="DC74" s="54"/>
      <c r="DD74" s="52"/>
      <c r="DE74" s="52"/>
      <c r="DF74" s="52"/>
      <c r="DG74" s="53"/>
      <c r="DH74" s="1"/>
      <c r="DI74" s="52"/>
      <c r="DJ74" s="52"/>
      <c r="DK74" s="52"/>
      <c r="DL74" s="52"/>
      <c r="DM74" s="52"/>
      <c r="DN74" s="52"/>
      <c r="DO74" s="52"/>
      <c r="DP74" s="53"/>
      <c r="DT74" s="41"/>
      <c r="DU74" s="55"/>
      <c r="DV74" s="56"/>
      <c r="DW74" s="57"/>
    </row>
    <row r="75" spans="1:127" ht="16.5" customHeight="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4" t="str">
        <f t="shared" si="301"/>
        <v>sho.col</v>
      </c>
      <c r="P75" s="46">
        <f t="shared" si="296"/>
        <v>0</v>
      </c>
      <c r="Q75" s="46">
        <f t="shared" si="297"/>
        <v>0</v>
      </c>
      <c r="R75" s="46">
        <f t="shared" si="298"/>
        <v>0</v>
      </c>
      <c r="S75" s="46">
        <f t="shared" si="299"/>
        <v>0</v>
      </c>
      <c r="U75" s="289"/>
      <c r="V75" s="300" t="s">
        <v>101</v>
      </c>
      <c r="W75" s="15" t="s">
        <v>86</v>
      </c>
      <c r="X75" s="43">
        <v>500</v>
      </c>
      <c r="Y75" s="43">
        <v>500</v>
      </c>
      <c r="Z75" s="293">
        <v>500</v>
      </c>
      <c r="AA75" s="293">
        <v>501</v>
      </c>
      <c r="AB75" s="293">
        <v>502</v>
      </c>
      <c r="AC75" s="292">
        <v>0</v>
      </c>
      <c r="AD75" s="292">
        <v>1</v>
      </c>
      <c r="AE75" s="293"/>
      <c r="AJ75" s="306"/>
      <c r="AK75" s="307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4"/>
      <c r="AW75" s="43"/>
      <c r="AX75" s="43"/>
      <c r="AY75" s="43"/>
      <c r="AZ75" s="47"/>
      <c r="BA75" s="48"/>
      <c r="BB75" s="49"/>
      <c r="BD75" s="43"/>
      <c r="BE75" s="43"/>
      <c r="BF75" s="43"/>
      <c r="BG75" s="43"/>
      <c r="BH75" s="44"/>
      <c r="BI75" s="50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4"/>
      <c r="BY75" s="44"/>
      <c r="BZ75" s="43"/>
      <c r="CA75" s="43"/>
      <c r="CB75" s="43"/>
      <c r="CC75" s="43"/>
      <c r="CD75" s="51"/>
      <c r="CE75" s="1"/>
      <c r="CF75" s="1"/>
      <c r="CG75" s="43"/>
      <c r="CH75" s="43"/>
      <c r="CI75" s="43"/>
      <c r="CJ75" s="52"/>
      <c r="CK75" s="52"/>
      <c r="CL75" s="52"/>
      <c r="CM75" s="52"/>
      <c r="CN75" s="52"/>
      <c r="CO75" s="53"/>
      <c r="CP75" s="1"/>
      <c r="CQ75" s="43"/>
      <c r="CR75" s="43"/>
      <c r="CS75" s="52"/>
      <c r="CT75" s="52"/>
      <c r="CU75" s="52"/>
      <c r="CV75" s="52"/>
      <c r="CW75" s="52"/>
      <c r="CX75" s="53"/>
      <c r="CY75" s="1"/>
      <c r="CZ75" s="52"/>
      <c r="DA75" s="52"/>
      <c r="DB75" s="54"/>
      <c r="DC75" s="54"/>
      <c r="DD75" s="52"/>
      <c r="DE75" s="52"/>
      <c r="DF75" s="52"/>
      <c r="DG75" s="53"/>
      <c r="DH75" s="1"/>
      <c r="DI75" s="52"/>
      <c r="DJ75" s="52"/>
      <c r="DK75" s="52"/>
      <c r="DL75" s="52"/>
      <c r="DM75" s="52"/>
      <c r="DN75" s="52"/>
      <c r="DO75" s="52"/>
      <c r="DP75" s="53"/>
      <c r="DT75" s="41"/>
      <c r="DU75" s="55"/>
      <c r="DV75" s="56"/>
      <c r="DW75" s="57"/>
    </row>
    <row r="76" spans="1:127" ht="16.5" customHeight="1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4" t="str">
        <f t="shared" si="301"/>
        <v>sho.col</v>
      </c>
      <c r="P76" s="46">
        <f t="shared" si="296"/>
        <v>0</v>
      </c>
      <c r="Q76" s="46">
        <f t="shared" si="297"/>
        <v>0</v>
      </c>
      <c r="R76" s="46">
        <f t="shared" si="298"/>
        <v>0</v>
      </c>
      <c r="S76" s="46">
        <f t="shared" si="299"/>
        <v>0</v>
      </c>
      <c r="U76" s="289"/>
      <c r="V76" s="298"/>
      <c r="W76" s="15" t="s">
        <v>97</v>
      </c>
      <c r="X76" s="43">
        <v>800</v>
      </c>
      <c r="Y76" s="43">
        <v>800</v>
      </c>
      <c r="Z76" s="295"/>
      <c r="AA76" s="295"/>
      <c r="AB76" s="295"/>
      <c r="AC76" s="295"/>
      <c r="AD76" s="293"/>
      <c r="AE76" s="293"/>
      <c r="AJ76" s="306"/>
      <c r="AK76" s="307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4"/>
      <c r="AW76" s="43"/>
      <c r="AX76" s="43"/>
      <c r="AY76" s="43"/>
      <c r="AZ76" s="47"/>
      <c r="BA76" s="48"/>
      <c r="BB76" s="49"/>
      <c r="BD76" s="43"/>
      <c r="BE76" s="43"/>
      <c r="BF76" s="43"/>
      <c r="BG76" s="43"/>
      <c r="BH76" s="44"/>
      <c r="BI76" s="50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4"/>
      <c r="BY76" s="44"/>
      <c r="BZ76" s="43"/>
      <c r="CA76" s="43"/>
      <c r="CB76" s="43"/>
      <c r="CC76" s="43"/>
      <c r="CD76" s="51"/>
      <c r="CE76" s="1"/>
      <c r="CF76" s="1"/>
      <c r="CG76" s="43"/>
      <c r="CH76" s="43"/>
      <c r="CI76" s="43"/>
      <c r="CJ76" s="52"/>
      <c r="CK76" s="52"/>
      <c r="CL76" s="52"/>
      <c r="CM76" s="52"/>
      <c r="CN76" s="52"/>
      <c r="CO76" s="53"/>
      <c r="CP76" s="1"/>
      <c r="CQ76" s="43"/>
      <c r="CR76" s="43"/>
      <c r="CS76" s="52"/>
      <c r="CT76" s="52"/>
      <c r="CU76" s="52"/>
      <c r="CV76" s="52"/>
      <c r="CW76" s="52"/>
      <c r="CX76" s="53"/>
      <c r="CY76" s="1"/>
      <c r="CZ76" s="52"/>
      <c r="DA76" s="52"/>
      <c r="DB76" s="54"/>
      <c r="DC76" s="54"/>
      <c r="DD76" s="52"/>
      <c r="DE76" s="52"/>
      <c r="DF76" s="52"/>
      <c r="DG76" s="53"/>
      <c r="DH76" s="1"/>
      <c r="DI76" s="52"/>
      <c r="DJ76" s="52"/>
      <c r="DK76" s="52"/>
      <c r="DL76" s="52"/>
      <c r="DM76" s="52"/>
      <c r="DN76" s="52"/>
      <c r="DO76" s="52"/>
      <c r="DP76" s="53"/>
      <c r="DT76" s="41"/>
      <c r="DU76" s="55"/>
      <c r="DV76" s="56"/>
      <c r="DW76" s="57"/>
    </row>
    <row r="77" spans="1:127" ht="16.5" customHeight="1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4" t="str">
        <f t="shared" si="301"/>
        <v>sho.col</v>
      </c>
      <c r="P77" s="46">
        <f t="shared" si="296"/>
        <v>0</v>
      </c>
      <c r="Q77" s="46">
        <f t="shared" si="297"/>
        <v>0</v>
      </c>
      <c r="R77" s="46">
        <f t="shared" si="298"/>
        <v>0</v>
      </c>
      <c r="S77" s="46">
        <f t="shared" si="299"/>
        <v>0</v>
      </c>
      <c r="U77" s="289"/>
      <c r="V77" s="298"/>
      <c r="W77" s="15" t="s">
        <v>98</v>
      </c>
      <c r="X77" s="43">
        <v>10300</v>
      </c>
      <c r="Y77" s="43">
        <v>5200</v>
      </c>
      <c r="Z77" s="292">
        <v>0</v>
      </c>
      <c r="AA77" s="292">
        <v>0</v>
      </c>
      <c r="AB77" s="292">
        <v>0</v>
      </c>
      <c r="AC77" s="292">
        <v>0</v>
      </c>
      <c r="AD77" s="293"/>
      <c r="AE77" s="293"/>
      <c r="AJ77" s="306"/>
      <c r="AK77" s="307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4"/>
      <c r="AW77" s="43"/>
      <c r="AX77" s="43"/>
      <c r="AY77" s="43"/>
      <c r="AZ77" s="47"/>
      <c r="BA77" s="48"/>
      <c r="BB77" s="49"/>
      <c r="BD77" s="43"/>
      <c r="BE77" s="43"/>
      <c r="BF77" s="43"/>
      <c r="BG77" s="43"/>
      <c r="BH77" s="44"/>
      <c r="BI77" s="50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4"/>
      <c r="BY77" s="44"/>
      <c r="BZ77" s="43"/>
      <c r="CA77" s="43"/>
      <c r="CB77" s="43"/>
      <c r="CC77" s="43"/>
      <c r="CD77" s="51"/>
      <c r="CE77" s="1"/>
      <c r="CF77" s="1"/>
      <c r="CG77" s="43"/>
      <c r="CH77" s="43"/>
      <c r="CI77" s="43"/>
      <c r="CJ77" s="52"/>
      <c r="CK77" s="52"/>
      <c r="CL77" s="52"/>
      <c r="CM77" s="52"/>
      <c r="CN77" s="52"/>
      <c r="CO77" s="53"/>
      <c r="CP77" s="1"/>
      <c r="CQ77" s="43"/>
      <c r="CR77" s="43"/>
      <c r="CS77" s="52"/>
      <c r="CT77" s="52"/>
      <c r="CU77" s="52"/>
      <c r="CV77" s="52"/>
      <c r="CW77" s="52"/>
      <c r="CX77" s="53"/>
      <c r="CY77" s="1"/>
      <c r="CZ77" s="52"/>
      <c r="DA77" s="52"/>
      <c r="DB77" s="54"/>
      <c r="DC77" s="54"/>
      <c r="DD77" s="52"/>
      <c r="DE77" s="52"/>
      <c r="DF77" s="52"/>
      <c r="DG77" s="53"/>
      <c r="DH77" s="1"/>
      <c r="DI77" s="52"/>
      <c r="DJ77" s="52"/>
      <c r="DK77" s="52"/>
      <c r="DL77" s="52"/>
      <c r="DM77" s="52"/>
      <c r="DN77" s="52"/>
      <c r="DO77" s="52"/>
      <c r="DP77" s="53"/>
      <c r="DT77" s="41"/>
      <c r="DU77" s="55"/>
      <c r="DV77" s="56"/>
      <c r="DW77" s="57"/>
    </row>
    <row r="78" spans="1:127" ht="16.5" customHeight="1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4" t="str">
        <f t="shared" si="301"/>
        <v>sho.col</v>
      </c>
      <c r="P78" s="46">
        <f t="shared" si="296"/>
        <v>0</v>
      </c>
      <c r="Q78" s="46">
        <f t="shared" si="297"/>
        <v>0</v>
      </c>
      <c r="R78" s="46">
        <f t="shared" si="298"/>
        <v>0</v>
      </c>
      <c r="S78" s="46">
        <f t="shared" si="299"/>
        <v>0</v>
      </c>
      <c r="U78" s="302"/>
      <c r="V78" s="301"/>
      <c r="W78" s="15" t="s">
        <v>99</v>
      </c>
      <c r="X78" s="43">
        <f>(X75*X76^3/12)/X77</f>
        <v>2071197.4110032362</v>
      </c>
      <c r="Y78" s="43">
        <f>(Y75*Y76^3/12)/Y77</f>
        <v>4102564.1025641025</v>
      </c>
      <c r="Z78" s="295"/>
      <c r="AA78" s="295"/>
      <c r="AB78" s="295"/>
      <c r="AC78" s="295"/>
      <c r="AD78" s="294"/>
      <c r="AE78" s="294"/>
      <c r="AJ78" s="306"/>
      <c r="AK78" s="307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4"/>
      <c r="AW78" s="43"/>
      <c r="AX78" s="43"/>
      <c r="AY78" s="43"/>
      <c r="AZ78" s="47"/>
      <c r="BA78" s="48"/>
      <c r="BB78" s="49"/>
      <c r="BD78" s="43"/>
      <c r="BE78" s="43"/>
      <c r="BF78" s="43"/>
      <c r="BG78" s="43"/>
      <c r="BH78" s="44"/>
      <c r="BI78" s="50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4"/>
      <c r="BY78" s="44"/>
      <c r="BZ78" s="43"/>
      <c r="CA78" s="43"/>
      <c r="CB78" s="43"/>
      <c r="CC78" s="43"/>
      <c r="CD78" s="51"/>
      <c r="CE78" s="1"/>
      <c r="CF78" s="1"/>
      <c r="CG78" s="43"/>
      <c r="CH78" s="43"/>
      <c r="CI78" s="43"/>
      <c r="CJ78" s="52"/>
      <c r="CK78" s="52"/>
      <c r="CL78" s="52"/>
      <c r="CM78" s="52"/>
      <c r="CN78" s="52"/>
      <c r="CO78" s="53"/>
      <c r="CP78" s="1"/>
      <c r="CQ78" s="43"/>
      <c r="CR78" s="43"/>
      <c r="CS78" s="52"/>
      <c r="CT78" s="52"/>
      <c r="CU78" s="52"/>
      <c r="CV78" s="52"/>
      <c r="CW78" s="52"/>
      <c r="CX78" s="53"/>
      <c r="CY78" s="1"/>
      <c r="CZ78" s="52"/>
      <c r="DA78" s="52"/>
      <c r="DB78" s="54"/>
      <c r="DC78" s="54"/>
      <c r="DD78" s="52"/>
      <c r="DE78" s="52"/>
      <c r="DF78" s="52"/>
      <c r="DG78" s="53"/>
      <c r="DH78" s="1"/>
      <c r="DI78" s="52"/>
      <c r="DJ78" s="52"/>
      <c r="DK78" s="52"/>
      <c r="DL78" s="52"/>
      <c r="DM78" s="52"/>
      <c r="DN78" s="52"/>
      <c r="DO78" s="52"/>
      <c r="DP78" s="53"/>
      <c r="DT78" s="41"/>
      <c r="DU78" s="55"/>
      <c r="DV78" s="56"/>
      <c r="DW78" s="57"/>
    </row>
    <row r="79" spans="1:127" ht="16.5" customHeight="1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4" t="str">
        <f t="shared" si="301"/>
        <v>sho.col</v>
      </c>
      <c r="P79" s="46">
        <f t="shared" si="296"/>
        <v>0</v>
      </c>
      <c r="Q79" s="46">
        <f t="shared" si="297"/>
        <v>0</v>
      </c>
      <c r="R79" s="46">
        <f t="shared" si="298"/>
        <v>0</v>
      </c>
      <c r="S79" s="46">
        <f t="shared" si="299"/>
        <v>0</v>
      </c>
      <c r="U79" s="288" t="s">
        <v>17</v>
      </c>
      <c r="V79" s="300" t="s">
        <v>100</v>
      </c>
      <c r="W79" s="15" t="s">
        <v>86</v>
      </c>
      <c r="X79" s="43">
        <v>500</v>
      </c>
      <c r="Y79" s="43">
        <v>0</v>
      </c>
      <c r="Z79" s="292">
        <v>1200</v>
      </c>
      <c r="AA79" s="292">
        <v>1200</v>
      </c>
      <c r="AB79" s="292">
        <v>4350</v>
      </c>
      <c r="AC79" s="292">
        <f>(Z79*AA79^3/12)/AB79</f>
        <v>39724137.931034483</v>
      </c>
      <c r="AD79" s="292">
        <f>(0.7*(AC79+AC81))/(0.35*(X82+Y82))</f>
        <v>20.317665678879312</v>
      </c>
      <c r="AE79" s="292">
        <f>MIN(MIN(1,(0.7+0.05*(AD79+AD83))),MIN(1,(0.85+0.05*MIN(AD79,AD83))))</f>
        <v>0.9</v>
      </c>
      <c r="AJ79" s="306"/>
      <c r="AK79" s="307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4"/>
      <c r="AW79" s="43"/>
      <c r="AX79" s="43"/>
      <c r="AY79" s="43"/>
      <c r="AZ79" s="47"/>
      <c r="BA79" s="48"/>
      <c r="BB79" s="49"/>
      <c r="BD79" s="43"/>
      <c r="BE79" s="43"/>
      <c r="BF79" s="43"/>
      <c r="BG79" s="43"/>
      <c r="BH79" s="44"/>
      <c r="BI79" s="50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4"/>
      <c r="BY79" s="44"/>
      <c r="BZ79" s="43"/>
      <c r="CA79" s="43"/>
      <c r="CB79" s="43"/>
      <c r="CC79" s="43"/>
      <c r="CD79" s="51"/>
      <c r="CE79" s="1"/>
      <c r="CF79" s="1"/>
      <c r="CG79" s="43"/>
      <c r="CH79" s="43"/>
      <c r="CI79" s="43"/>
      <c r="CJ79" s="52"/>
      <c r="CK79" s="52"/>
      <c r="CL79" s="52"/>
      <c r="CM79" s="52"/>
      <c r="CN79" s="52"/>
      <c r="CO79" s="53"/>
      <c r="CP79" s="1"/>
      <c r="CQ79" s="43"/>
      <c r="CR79" s="43"/>
      <c r="CS79" s="52"/>
      <c r="CT79" s="52"/>
      <c r="CU79" s="52"/>
      <c r="CV79" s="52"/>
      <c r="CW79" s="52"/>
      <c r="CX79" s="53"/>
      <c r="CY79" s="1"/>
      <c r="CZ79" s="52"/>
      <c r="DA79" s="52"/>
      <c r="DB79" s="54"/>
      <c r="DC79" s="54"/>
      <c r="DD79" s="52"/>
      <c r="DE79" s="52"/>
      <c r="DF79" s="52"/>
      <c r="DG79" s="53"/>
      <c r="DH79" s="1"/>
      <c r="DI79" s="52"/>
      <c r="DJ79" s="52"/>
      <c r="DK79" s="52"/>
      <c r="DL79" s="52"/>
      <c r="DM79" s="52"/>
      <c r="DN79" s="52"/>
      <c r="DO79" s="52"/>
      <c r="DP79" s="53"/>
      <c r="DT79" s="41"/>
      <c r="DU79" s="55"/>
      <c r="DV79" s="56"/>
      <c r="DW79" s="57"/>
    </row>
    <row r="80" spans="1:127" ht="16.5" customHeight="1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4" t="str">
        <f t="shared" si="301"/>
        <v>sho.col</v>
      </c>
      <c r="P80" s="46">
        <f t="shared" si="296"/>
        <v>0</v>
      </c>
      <c r="Q80" s="46">
        <f t="shared" si="297"/>
        <v>0</v>
      </c>
      <c r="R80" s="46">
        <f t="shared" si="298"/>
        <v>0</v>
      </c>
      <c r="S80" s="46">
        <f t="shared" si="299"/>
        <v>0</v>
      </c>
      <c r="U80" s="289"/>
      <c r="V80" s="298"/>
      <c r="W80" s="15" t="s">
        <v>97</v>
      </c>
      <c r="X80" s="43">
        <v>800</v>
      </c>
      <c r="Y80" s="43">
        <v>0</v>
      </c>
      <c r="Z80" s="295"/>
      <c r="AA80" s="295"/>
      <c r="AB80" s="295"/>
      <c r="AC80" s="295"/>
      <c r="AD80" s="293"/>
      <c r="AE80" s="293"/>
      <c r="AJ80" s="306"/>
      <c r="AK80" s="307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4"/>
      <c r="AW80" s="43"/>
      <c r="AX80" s="43"/>
      <c r="AY80" s="43"/>
      <c r="AZ80" s="47"/>
      <c r="BA80" s="48"/>
      <c r="BB80" s="49"/>
      <c r="BD80" s="43"/>
      <c r="BE80" s="43"/>
      <c r="BF80" s="43"/>
      <c r="BG80" s="43"/>
      <c r="BH80" s="44"/>
      <c r="BI80" s="50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4"/>
      <c r="BY80" s="44"/>
      <c r="BZ80" s="43"/>
      <c r="CA80" s="43"/>
      <c r="CB80" s="43"/>
      <c r="CC80" s="43"/>
      <c r="CD80" s="51"/>
      <c r="CE80" s="1"/>
      <c r="CF80" s="1"/>
      <c r="CG80" s="43"/>
      <c r="CH80" s="43"/>
      <c r="CI80" s="43"/>
      <c r="CJ80" s="52"/>
      <c r="CK80" s="52"/>
      <c r="CL80" s="52"/>
      <c r="CM80" s="52"/>
      <c r="CN80" s="52"/>
      <c r="CO80" s="53"/>
      <c r="CP80" s="1"/>
      <c r="CQ80" s="43"/>
      <c r="CR80" s="43"/>
      <c r="CS80" s="52"/>
      <c r="CT80" s="52"/>
      <c r="CU80" s="52"/>
      <c r="CV80" s="52"/>
      <c r="CW80" s="52"/>
      <c r="CX80" s="53"/>
      <c r="CY80" s="1"/>
      <c r="CZ80" s="52"/>
      <c r="DA80" s="52"/>
      <c r="DB80" s="54"/>
      <c r="DC80" s="54"/>
      <c r="DD80" s="52"/>
      <c r="DE80" s="52"/>
      <c r="DF80" s="52"/>
      <c r="DG80" s="53"/>
      <c r="DH80" s="1"/>
      <c r="DI80" s="52"/>
      <c r="DJ80" s="52"/>
      <c r="DK80" s="52"/>
      <c r="DL80" s="52"/>
      <c r="DM80" s="52"/>
      <c r="DN80" s="52"/>
      <c r="DO80" s="52"/>
      <c r="DP80" s="53"/>
      <c r="DT80" s="41"/>
      <c r="DU80" s="55"/>
      <c r="DV80" s="56"/>
      <c r="DW80" s="57"/>
    </row>
    <row r="81" spans="1:127" ht="16.5" customHeight="1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4" t="str">
        <f t="shared" si="301"/>
        <v>sho.col</v>
      </c>
      <c r="P81" s="46">
        <f t="shared" si="296"/>
        <v>0</v>
      </c>
      <c r="Q81" s="46">
        <f t="shared" si="297"/>
        <v>0</v>
      </c>
      <c r="R81" s="46">
        <f t="shared" si="298"/>
        <v>0</v>
      </c>
      <c r="S81" s="46">
        <f t="shared" si="299"/>
        <v>0</v>
      </c>
      <c r="U81" s="289"/>
      <c r="V81" s="298"/>
      <c r="W81" s="15" t="s">
        <v>98</v>
      </c>
      <c r="X81" s="43">
        <v>5200</v>
      </c>
      <c r="Y81" s="43">
        <v>0</v>
      </c>
      <c r="Z81" s="292">
        <f>D16</f>
        <v>300</v>
      </c>
      <c r="AA81" s="292">
        <f>E16</f>
        <v>500</v>
      </c>
      <c r="AB81" s="292">
        <f>F16</f>
        <v>1600</v>
      </c>
      <c r="AC81" s="292">
        <f>(Z81*AA81^3/12)/AB81</f>
        <v>1953125</v>
      </c>
      <c r="AD81" s="293"/>
      <c r="AE81" s="293"/>
      <c r="AJ81" s="306"/>
      <c r="AK81" s="307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4"/>
      <c r="AW81" s="43"/>
      <c r="AX81" s="43"/>
      <c r="AY81" s="43"/>
      <c r="AZ81" s="47"/>
      <c r="BA81" s="48"/>
      <c r="BB81" s="49"/>
      <c r="BD81" s="43"/>
      <c r="BE81" s="43"/>
      <c r="BF81" s="43"/>
      <c r="BG81" s="43"/>
      <c r="BH81" s="44"/>
      <c r="BI81" s="50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4"/>
      <c r="BY81" s="44"/>
      <c r="BZ81" s="43"/>
      <c r="CA81" s="43"/>
      <c r="CB81" s="43"/>
      <c r="CC81" s="43"/>
      <c r="CD81" s="51"/>
      <c r="CE81" s="1"/>
      <c r="CF81" s="1"/>
      <c r="CG81" s="43"/>
      <c r="CH81" s="43"/>
      <c r="CI81" s="43"/>
      <c r="CJ81" s="52"/>
      <c r="CK81" s="52"/>
      <c r="CL81" s="52"/>
      <c r="CM81" s="52"/>
      <c r="CN81" s="52"/>
      <c r="CO81" s="53"/>
      <c r="CP81" s="1"/>
      <c r="CQ81" s="43"/>
      <c r="CR81" s="43"/>
      <c r="CS81" s="52"/>
      <c r="CT81" s="52"/>
      <c r="CU81" s="52"/>
      <c r="CV81" s="52"/>
      <c r="CW81" s="52"/>
      <c r="CX81" s="53"/>
      <c r="CY81" s="1"/>
      <c r="CZ81" s="52"/>
      <c r="DA81" s="52"/>
      <c r="DB81" s="54"/>
      <c r="DC81" s="54"/>
      <c r="DD81" s="52"/>
      <c r="DE81" s="52"/>
      <c r="DF81" s="52"/>
      <c r="DG81" s="53"/>
      <c r="DH81" s="1"/>
      <c r="DI81" s="52"/>
      <c r="DJ81" s="52"/>
      <c r="DK81" s="52"/>
      <c r="DL81" s="52"/>
      <c r="DM81" s="52"/>
      <c r="DN81" s="52"/>
      <c r="DO81" s="52"/>
      <c r="DP81" s="53"/>
      <c r="DT81" s="41"/>
      <c r="DU81" s="55"/>
      <c r="DV81" s="56"/>
      <c r="DW81" s="57"/>
    </row>
    <row r="82" spans="1:127" ht="16.5" customHeight="1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4" t="str">
        <f t="shared" si="301"/>
        <v>sho.col</v>
      </c>
      <c r="P82" s="46">
        <f t="shared" si="296"/>
        <v>0</v>
      </c>
      <c r="Q82" s="46">
        <f t="shared" si="297"/>
        <v>0</v>
      </c>
      <c r="R82" s="46">
        <f t="shared" si="298"/>
        <v>0</v>
      </c>
      <c r="S82" s="46">
        <f t="shared" si="299"/>
        <v>0</v>
      </c>
      <c r="U82" s="289"/>
      <c r="V82" s="301"/>
      <c r="W82" s="15" t="s">
        <v>99</v>
      </c>
      <c r="X82" s="43">
        <f>(X79*X80^3/12)/X81</f>
        <v>4102564.1025641025</v>
      </c>
      <c r="Y82" s="43">
        <v>0</v>
      </c>
      <c r="Z82" s="293"/>
      <c r="AA82" s="293"/>
      <c r="AB82" s="293"/>
      <c r="AC82" s="295"/>
      <c r="AD82" s="294"/>
      <c r="AE82" s="293"/>
      <c r="AJ82" s="306"/>
      <c r="AK82" s="307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4"/>
      <c r="AW82" s="43"/>
      <c r="AX82" s="43"/>
      <c r="AY82" s="43"/>
      <c r="AZ82" s="47"/>
      <c r="BA82" s="48"/>
      <c r="BB82" s="49"/>
      <c r="BD82" s="43"/>
      <c r="BE82" s="43"/>
      <c r="BF82" s="43"/>
      <c r="BG82" s="43"/>
      <c r="BH82" s="44"/>
      <c r="BI82" s="50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4"/>
      <c r="BY82" s="44"/>
      <c r="BZ82" s="43"/>
      <c r="CA82" s="43"/>
      <c r="CB82" s="43"/>
      <c r="CC82" s="43"/>
      <c r="CD82" s="51"/>
      <c r="CE82" s="1"/>
      <c r="CF82" s="1"/>
      <c r="CG82" s="43"/>
      <c r="CH82" s="43"/>
      <c r="CI82" s="43"/>
      <c r="CJ82" s="52"/>
      <c r="CK82" s="52"/>
      <c r="CL82" s="52"/>
      <c r="CM82" s="52"/>
      <c r="CN82" s="52"/>
      <c r="CO82" s="53"/>
      <c r="CP82" s="1"/>
      <c r="CQ82" s="43"/>
      <c r="CR82" s="43"/>
      <c r="CS82" s="52"/>
      <c r="CT82" s="52"/>
      <c r="CU82" s="52"/>
      <c r="CV82" s="52"/>
      <c r="CW82" s="52"/>
      <c r="CX82" s="53"/>
      <c r="CY82" s="1"/>
      <c r="CZ82" s="52"/>
      <c r="DA82" s="52"/>
      <c r="DB82" s="54"/>
      <c r="DC82" s="54"/>
      <c r="DD82" s="52"/>
      <c r="DE82" s="52"/>
      <c r="DF82" s="52"/>
      <c r="DG82" s="53"/>
      <c r="DH82" s="1"/>
      <c r="DI82" s="52"/>
      <c r="DJ82" s="52"/>
      <c r="DK82" s="52"/>
      <c r="DL82" s="52"/>
      <c r="DM82" s="52"/>
      <c r="DN82" s="52"/>
      <c r="DO82" s="52"/>
      <c r="DP82" s="53"/>
      <c r="DT82" s="41"/>
      <c r="DU82" s="55"/>
      <c r="DV82" s="56"/>
      <c r="DW82" s="57"/>
    </row>
    <row r="83" spans="1:127" ht="16.5" customHeight="1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4" t="str">
        <f t="shared" si="301"/>
        <v>sho.col</v>
      </c>
      <c r="P83" s="46">
        <f t="shared" si="296"/>
        <v>0</v>
      </c>
      <c r="Q83" s="46">
        <f t="shared" si="297"/>
        <v>0</v>
      </c>
      <c r="R83" s="46">
        <f t="shared" si="298"/>
        <v>0</v>
      </c>
      <c r="S83" s="46">
        <f t="shared" si="299"/>
        <v>0</v>
      </c>
      <c r="U83" s="289"/>
      <c r="V83" s="300" t="s">
        <v>101</v>
      </c>
      <c r="W83" s="15" t="s">
        <v>86</v>
      </c>
      <c r="X83" s="43">
        <v>500</v>
      </c>
      <c r="Y83" s="43">
        <v>0</v>
      </c>
      <c r="Z83" s="293">
        <v>500</v>
      </c>
      <c r="AA83" s="293">
        <v>501</v>
      </c>
      <c r="AB83" s="293">
        <v>502</v>
      </c>
      <c r="AC83" s="292">
        <v>0</v>
      </c>
      <c r="AD83" s="292">
        <v>1</v>
      </c>
      <c r="AE83" s="293"/>
      <c r="AJ83" s="306"/>
      <c r="AK83" s="307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4"/>
      <c r="AW83" s="43"/>
      <c r="AX83" s="43"/>
      <c r="AY83" s="43"/>
      <c r="AZ83" s="47"/>
      <c r="BA83" s="48"/>
      <c r="BB83" s="49"/>
      <c r="BD83" s="43"/>
      <c r="BE83" s="43"/>
      <c r="BF83" s="43"/>
      <c r="BG83" s="43"/>
      <c r="BH83" s="44"/>
      <c r="BI83" s="50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4"/>
      <c r="BY83" s="44"/>
      <c r="BZ83" s="43"/>
      <c r="CA83" s="43"/>
      <c r="CB83" s="43"/>
      <c r="CC83" s="43"/>
      <c r="CD83" s="51"/>
      <c r="CE83" s="1"/>
      <c r="CF83" s="1"/>
      <c r="CG83" s="43"/>
      <c r="CH83" s="43"/>
      <c r="CI83" s="43"/>
      <c r="CJ83" s="52"/>
      <c r="CK83" s="52"/>
      <c r="CL83" s="52"/>
      <c r="CM83" s="52"/>
      <c r="CN83" s="52"/>
      <c r="CO83" s="53"/>
      <c r="CP83" s="1"/>
      <c r="CQ83" s="43"/>
      <c r="CR83" s="43"/>
      <c r="CS83" s="52"/>
      <c r="CT83" s="52"/>
      <c r="CU83" s="52"/>
      <c r="CV83" s="52"/>
      <c r="CW83" s="52"/>
      <c r="CX83" s="53"/>
      <c r="CY83" s="1"/>
      <c r="CZ83" s="52"/>
      <c r="DA83" s="52"/>
      <c r="DB83" s="54"/>
      <c r="DC83" s="54"/>
      <c r="DD83" s="52"/>
      <c r="DE83" s="52"/>
      <c r="DF83" s="52"/>
      <c r="DG83" s="53"/>
      <c r="DH83" s="1"/>
      <c r="DI83" s="52"/>
      <c r="DJ83" s="52"/>
      <c r="DK83" s="52"/>
      <c r="DL83" s="52"/>
      <c r="DM83" s="52"/>
      <c r="DN83" s="52"/>
      <c r="DO83" s="52"/>
      <c r="DP83" s="53"/>
      <c r="DT83" s="41"/>
      <c r="DU83" s="55"/>
      <c r="DV83" s="56"/>
      <c r="DW83" s="57"/>
    </row>
    <row r="84" spans="1:127" ht="16.5" customHeight="1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4" t="str">
        <f t="shared" si="301"/>
        <v>sho.col</v>
      </c>
      <c r="P84" s="46">
        <f t="shared" si="296"/>
        <v>0</v>
      </c>
      <c r="Q84" s="46">
        <f t="shared" si="297"/>
        <v>0</v>
      </c>
      <c r="R84" s="46">
        <f t="shared" si="298"/>
        <v>0</v>
      </c>
      <c r="S84" s="46">
        <f t="shared" si="299"/>
        <v>0</v>
      </c>
      <c r="U84" s="289"/>
      <c r="V84" s="298"/>
      <c r="W84" s="15" t="s">
        <v>97</v>
      </c>
      <c r="X84" s="43">
        <v>800</v>
      </c>
      <c r="Y84" s="43">
        <v>0</v>
      </c>
      <c r="Z84" s="295"/>
      <c r="AA84" s="295"/>
      <c r="AB84" s="295"/>
      <c r="AC84" s="295"/>
      <c r="AD84" s="293"/>
      <c r="AE84" s="293"/>
      <c r="AJ84" s="306"/>
      <c r="AK84" s="307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4"/>
      <c r="AW84" s="43"/>
      <c r="AX84" s="43"/>
      <c r="AY84" s="43"/>
      <c r="AZ84" s="47"/>
      <c r="BA84" s="48"/>
      <c r="BB84" s="49"/>
      <c r="BD84" s="43"/>
      <c r="BE84" s="43"/>
      <c r="BF84" s="43"/>
      <c r="BG84" s="43"/>
      <c r="BH84" s="44"/>
      <c r="BI84" s="50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4"/>
      <c r="BY84" s="44"/>
      <c r="BZ84" s="43"/>
      <c r="CA84" s="43"/>
      <c r="CB84" s="43"/>
      <c r="CC84" s="43"/>
      <c r="CD84" s="51"/>
      <c r="CE84" s="1"/>
      <c r="CF84" s="1"/>
      <c r="CG84" s="43"/>
      <c r="CH84" s="43"/>
      <c r="CI84" s="43"/>
      <c r="CJ84" s="52"/>
      <c r="CK84" s="52"/>
      <c r="CL84" s="52"/>
      <c r="CM84" s="52"/>
      <c r="CN84" s="52"/>
      <c r="CO84" s="53"/>
      <c r="CP84" s="1"/>
      <c r="CQ84" s="43"/>
      <c r="CR84" s="43"/>
      <c r="CS84" s="52"/>
      <c r="CT84" s="52"/>
      <c r="CU84" s="52"/>
      <c r="CV84" s="52"/>
      <c r="CW84" s="52"/>
      <c r="CX84" s="53"/>
      <c r="CY84" s="1"/>
      <c r="CZ84" s="52"/>
      <c r="DA84" s="52"/>
      <c r="DB84" s="54"/>
      <c r="DC84" s="54"/>
      <c r="DD84" s="52"/>
      <c r="DE84" s="52"/>
      <c r="DF84" s="52"/>
      <c r="DG84" s="53"/>
      <c r="DH84" s="1"/>
      <c r="DI84" s="52"/>
      <c r="DJ84" s="52"/>
      <c r="DK84" s="52"/>
      <c r="DL84" s="52"/>
      <c r="DM84" s="52"/>
      <c r="DN84" s="52"/>
      <c r="DO84" s="52"/>
      <c r="DP84" s="53"/>
      <c r="DT84" s="41"/>
      <c r="DU84" s="55"/>
      <c r="DV84" s="56"/>
      <c r="DW84" s="57"/>
    </row>
    <row r="85" spans="1:127" ht="16.5" customHeight="1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4" t="str">
        <f t="shared" si="301"/>
        <v>sho.col</v>
      </c>
      <c r="P85" s="46">
        <f t="shared" si="296"/>
        <v>0</v>
      </c>
      <c r="Q85" s="46">
        <f t="shared" si="297"/>
        <v>0</v>
      </c>
      <c r="R85" s="46">
        <f t="shared" si="298"/>
        <v>0</v>
      </c>
      <c r="S85" s="46">
        <f t="shared" si="299"/>
        <v>0</v>
      </c>
      <c r="U85" s="289"/>
      <c r="V85" s="298"/>
      <c r="W85" s="15" t="s">
        <v>98</v>
      </c>
      <c r="X85" s="43">
        <v>5200</v>
      </c>
      <c r="Y85" s="43">
        <v>0</v>
      </c>
      <c r="Z85" s="292">
        <v>0</v>
      </c>
      <c r="AA85" s="292">
        <v>0</v>
      </c>
      <c r="AB85" s="292">
        <v>0</v>
      </c>
      <c r="AC85" s="292">
        <v>0</v>
      </c>
      <c r="AD85" s="293"/>
      <c r="AE85" s="293"/>
      <c r="AJ85" s="306"/>
      <c r="AK85" s="307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4"/>
      <c r="AW85" s="43"/>
      <c r="AX85" s="43"/>
      <c r="AY85" s="43"/>
      <c r="AZ85" s="47"/>
      <c r="BA85" s="48"/>
      <c r="BB85" s="49"/>
      <c r="BD85" s="43"/>
      <c r="BE85" s="43"/>
      <c r="BF85" s="43"/>
      <c r="BG85" s="43"/>
      <c r="BH85" s="44"/>
      <c r="BI85" s="50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4"/>
      <c r="BY85" s="44"/>
      <c r="BZ85" s="43"/>
      <c r="CA85" s="43"/>
      <c r="CB85" s="43"/>
      <c r="CC85" s="43"/>
      <c r="CD85" s="51"/>
      <c r="CE85" s="1"/>
      <c r="CF85" s="1"/>
      <c r="CG85" s="43"/>
      <c r="CH85" s="43"/>
      <c r="CI85" s="43"/>
      <c r="CJ85" s="52"/>
      <c r="CK85" s="52"/>
      <c r="CL85" s="52"/>
      <c r="CM85" s="52"/>
      <c r="CN85" s="52"/>
      <c r="CO85" s="53"/>
      <c r="CP85" s="1"/>
      <c r="CQ85" s="43"/>
      <c r="CR85" s="43"/>
      <c r="CS85" s="52"/>
      <c r="CT85" s="52"/>
      <c r="CU85" s="52"/>
      <c r="CV85" s="52"/>
      <c r="CW85" s="52"/>
      <c r="CX85" s="53"/>
      <c r="CY85" s="1"/>
      <c r="CZ85" s="52"/>
      <c r="DA85" s="52"/>
      <c r="DB85" s="54"/>
      <c r="DC85" s="54"/>
      <c r="DD85" s="52"/>
      <c r="DE85" s="52"/>
      <c r="DF85" s="52"/>
      <c r="DG85" s="53"/>
      <c r="DH85" s="1"/>
      <c r="DI85" s="52"/>
      <c r="DJ85" s="52"/>
      <c r="DK85" s="52"/>
      <c r="DL85" s="52"/>
      <c r="DM85" s="52"/>
      <c r="DN85" s="52"/>
      <c r="DO85" s="52"/>
      <c r="DP85" s="53"/>
    </row>
    <row r="86" spans="1:127" ht="16.5" customHeight="1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4" t="str">
        <f t="shared" si="301"/>
        <v>sho.col</v>
      </c>
      <c r="P86" s="46">
        <f t="shared" si="296"/>
        <v>0</v>
      </c>
      <c r="Q86" s="46">
        <f t="shared" si="297"/>
        <v>0</v>
      </c>
      <c r="R86" s="46">
        <f t="shared" si="298"/>
        <v>0</v>
      </c>
      <c r="S86" s="46">
        <f t="shared" si="299"/>
        <v>0</v>
      </c>
      <c r="U86" s="302"/>
      <c r="V86" s="301"/>
      <c r="W86" s="15" t="s">
        <v>99</v>
      </c>
      <c r="X86" s="43">
        <f>(X83*X84^3/12)/X85</f>
        <v>4102564.1025641025</v>
      </c>
      <c r="Y86" s="43">
        <v>0</v>
      </c>
      <c r="Z86" s="295"/>
      <c r="AA86" s="295"/>
      <c r="AB86" s="295"/>
      <c r="AC86" s="295"/>
      <c r="AD86" s="294"/>
      <c r="AE86" s="294"/>
      <c r="AJ86" s="306"/>
      <c r="AK86" s="307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4"/>
      <c r="AW86" s="43"/>
      <c r="AX86" s="43"/>
      <c r="AY86" s="43"/>
      <c r="AZ86" s="47"/>
      <c r="BA86" s="48"/>
      <c r="BB86" s="49"/>
      <c r="BD86" s="43"/>
      <c r="BE86" s="43"/>
      <c r="BF86" s="43"/>
      <c r="BG86" s="43"/>
      <c r="BH86" s="44"/>
      <c r="BI86" s="50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4"/>
      <c r="BY86" s="44"/>
      <c r="BZ86" s="43"/>
      <c r="CA86" s="43"/>
      <c r="CB86" s="43"/>
      <c r="CC86" s="43"/>
      <c r="CD86" s="51"/>
      <c r="CE86" s="1"/>
      <c r="CF86" s="1"/>
      <c r="CG86" s="43"/>
      <c r="CH86" s="43"/>
      <c r="CI86" s="43"/>
      <c r="CJ86" s="52"/>
      <c r="CK86" s="52"/>
      <c r="CL86" s="52"/>
      <c r="CM86" s="52"/>
      <c r="CN86" s="52"/>
      <c r="CO86" s="53"/>
      <c r="CP86" s="1"/>
      <c r="CQ86" s="43"/>
      <c r="CR86" s="43"/>
      <c r="CS86" s="52"/>
      <c r="CT86" s="52"/>
      <c r="CU86" s="52"/>
      <c r="CV86" s="52"/>
      <c r="CW86" s="52"/>
      <c r="CX86" s="53"/>
      <c r="CY86" s="1"/>
      <c r="CZ86" s="52"/>
      <c r="DA86" s="52"/>
      <c r="DB86" s="54"/>
      <c r="DC86" s="54"/>
      <c r="DD86" s="52"/>
      <c r="DE86" s="52"/>
      <c r="DF86" s="52"/>
      <c r="DG86" s="53"/>
      <c r="DH86" s="1"/>
      <c r="DI86" s="52"/>
      <c r="DJ86" s="52"/>
      <c r="DK86" s="52"/>
      <c r="DL86" s="52"/>
      <c r="DM86" s="52"/>
      <c r="DN86" s="52"/>
      <c r="DO86" s="52"/>
      <c r="DP86" s="53"/>
    </row>
    <row r="87" spans="1:127" ht="16.5" customHeight="1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4" t="str">
        <f t="shared" si="301"/>
        <v>sho.col</v>
      </c>
      <c r="P87" s="46">
        <f t="shared" si="296"/>
        <v>0</v>
      </c>
      <c r="Q87" s="46">
        <f t="shared" si="297"/>
        <v>0</v>
      </c>
      <c r="R87" s="46">
        <f t="shared" si="298"/>
        <v>0</v>
      </c>
      <c r="S87" s="46">
        <f t="shared" si="299"/>
        <v>0</v>
      </c>
      <c r="U87" s="288" t="s">
        <v>18</v>
      </c>
      <c r="V87" s="300" t="s">
        <v>100</v>
      </c>
      <c r="W87" s="15" t="s">
        <v>86</v>
      </c>
      <c r="X87" s="43">
        <v>0</v>
      </c>
      <c r="Y87" s="43">
        <v>500</v>
      </c>
      <c r="Z87" s="292">
        <v>1200</v>
      </c>
      <c r="AA87" s="292">
        <v>1200</v>
      </c>
      <c r="AB87" s="292">
        <v>4350</v>
      </c>
      <c r="AC87" s="292">
        <f>(Z87*AA87^3/12)/AB87</f>
        <v>39724137.931034483</v>
      </c>
      <c r="AD87" s="292">
        <f>(0.7*(AC87+AC89))/(0.35*(X90+Y90))</f>
        <v>40.244607017780169</v>
      </c>
      <c r="AE87" s="292">
        <f>MIN(MIN(1,(0.7+0.05*(AD87+AD91))),MIN(1,(0.85+0.05*MIN(AD87,AD91))))</f>
        <v>0.9</v>
      </c>
      <c r="AJ87" s="306"/>
      <c r="AK87" s="307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4"/>
      <c r="AW87" s="43"/>
      <c r="AX87" s="43"/>
      <c r="AY87" s="43"/>
      <c r="AZ87" s="47"/>
      <c r="BA87" s="48"/>
      <c r="BB87" s="49"/>
      <c r="BD87" s="43"/>
      <c r="BE87" s="43"/>
      <c r="BF87" s="43"/>
      <c r="BG87" s="43"/>
      <c r="BH87" s="44"/>
      <c r="BI87" s="50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4"/>
      <c r="BY87" s="44"/>
      <c r="BZ87" s="43"/>
      <c r="CA87" s="43"/>
      <c r="CB87" s="43"/>
      <c r="CC87" s="43"/>
      <c r="CD87" s="51"/>
      <c r="CE87" s="1"/>
      <c r="CF87" s="1"/>
      <c r="CG87" s="43"/>
      <c r="CH87" s="43"/>
      <c r="CI87" s="43"/>
      <c r="CJ87" s="52"/>
      <c r="CK87" s="52"/>
      <c r="CL87" s="52"/>
      <c r="CM87" s="52"/>
      <c r="CN87" s="52"/>
      <c r="CO87" s="53"/>
      <c r="CP87" s="1"/>
      <c r="CQ87" s="43"/>
      <c r="CR87" s="43"/>
      <c r="CS87" s="52"/>
      <c r="CT87" s="52"/>
      <c r="CU87" s="52"/>
      <c r="CV87" s="52"/>
      <c r="CW87" s="52"/>
      <c r="CX87" s="53"/>
      <c r="CY87" s="1"/>
      <c r="CZ87" s="52"/>
      <c r="DA87" s="52"/>
      <c r="DB87" s="54"/>
      <c r="DC87" s="54"/>
      <c r="DD87" s="52"/>
      <c r="DE87" s="52"/>
      <c r="DF87" s="52"/>
      <c r="DG87" s="53"/>
      <c r="DH87" s="1"/>
      <c r="DI87" s="52"/>
      <c r="DJ87" s="52"/>
      <c r="DK87" s="52"/>
      <c r="DL87" s="52"/>
      <c r="DM87" s="52"/>
      <c r="DN87" s="52"/>
      <c r="DO87" s="52"/>
      <c r="DP87" s="53"/>
    </row>
    <row r="88" spans="1:127" ht="16.5" customHeight="1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4" t="str">
        <f t="shared" si="301"/>
        <v>sho.col</v>
      </c>
      <c r="P88" s="46">
        <f t="shared" si="296"/>
        <v>0</v>
      </c>
      <c r="Q88" s="46">
        <f t="shared" si="297"/>
        <v>0</v>
      </c>
      <c r="R88" s="46">
        <f t="shared" si="298"/>
        <v>0</v>
      </c>
      <c r="S88" s="46">
        <f t="shared" si="299"/>
        <v>0</v>
      </c>
      <c r="U88" s="289"/>
      <c r="V88" s="298"/>
      <c r="W88" s="15" t="s">
        <v>97</v>
      </c>
      <c r="X88" s="43">
        <v>0</v>
      </c>
      <c r="Y88" s="43">
        <v>800</v>
      </c>
      <c r="Z88" s="295"/>
      <c r="AA88" s="295"/>
      <c r="AB88" s="295"/>
      <c r="AC88" s="295"/>
      <c r="AD88" s="293"/>
      <c r="AE88" s="293"/>
      <c r="AJ88" s="306"/>
      <c r="AK88" s="307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4"/>
      <c r="AW88" s="43"/>
      <c r="AX88" s="43"/>
      <c r="AY88" s="43"/>
      <c r="AZ88" s="47"/>
      <c r="BA88" s="48"/>
      <c r="BB88" s="49"/>
      <c r="BD88" s="43"/>
      <c r="BE88" s="43"/>
      <c r="BF88" s="43"/>
      <c r="BG88" s="43"/>
      <c r="BH88" s="44"/>
      <c r="BI88" s="50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4"/>
      <c r="BY88" s="44"/>
      <c r="BZ88" s="43"/>
      <c r="CA88" s="43"/>
      <c r="CB88" s="43"/>
      <c r="CC88" s="43"/>
      <c r="CD88" s="51"/>
      <c r="CE88" s="1"/>
      <c r="CF88" s="1"/>
      <c r="CG88" s="43"/>
      <c r="CH88" s="43"/>
      <c r="CI88" s="43"/>
      <c r="CJ88" s="52"/>
      <c r="CK88" s="52"/>
      <c r="CL88" s="52"/>
      <c r="CM88" s="52"/>
      <c r="CN88" s="52"/>
      <c r="CO88" s="53"/>
      <c r="CP88" s="1"/>
      <c r="CQ88" s="43"/>
      <c r="CR88" s="43"/>
      <c r="CS88" s="52"/>
      <c r="CT88" s="52"/>
      <c r="CU88" s="52"/>
      <c r="CV88" s="52"/>
      <c r="CW88" s="52"/>
      <c r="CX88" s="53"/>
      <c r="CY88" s="1"/>
      <c r="CZ88" s="52"/>
      <c r="DA88" s="52"/>
      <c r="DB88" s="54"/>
      <c r="DC88" s="54"/>
      <c r="DD88" s="52"/>
      <c r="DE88" s="52"/>
      <c r="DF88" s="52"/>
      <c r="DG88" s="53"/>
      <c r="DH88" s="1"/>
      <c r="DI88" s="52"/>
      <c r="DJ88" s="52"/>
      <c r="DK88" s="52"/>
      <c r="DL88" s="52"/>
      <c r="DM88" s="52"/>
      <c r="DN88" s="52"/>
      <c r="DO88" s="52"/>
      <c r="DP88" s="53"/>
    </row>
    <row r="89" spans="1:127" ht="16.5" customHeight="1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4" t="str">
        <f t="shared" si="301"/>
        <v>sho.col</v>
      </c>
      <c r="P89" s="46">
        <f t="shared" ref="P89:P96" si="302">ABS(H89)</f>
        <v>0</v>
      </c>
      <c r="Q89" s="46">
        <f t="shared" ref="Q89:Q96" si="303">ABS(I89)</f>
        <v>0</v>
      </c>
      <c r="R89" s="46">
        <f t="shared" ref="R89:R96" si="304">ABS(J89)</f>
        <v>0</v>
      </c>
      <c r="S89" s="46">
        <f t="shared" ref="S89:S96" si="305">ABS(K89)</f>
        <v>0</v>
      </c>
      <c r="U89" s="289"/>
      <c r="V89" s="298"/>
      <c r="W89" s="15" t="s">
        <v>98</v>
      </c>
      <c r="X89" s="43">
        <v>0</v>
      </c>
      <c r="Y89" s="43">
        <v>10300</v>
      </c>
      <c r="Z89" s="292">
        <f>D17</f>
        <v>300</v>
      </c>
      <c r="AA89" s="292">
        <f>E17</f>
        <v>500</v>
      </c>
      <c r="AB89" s="292">
        <f>F17</f>
        <v>1600</v>
      </c>
      <c r="AC89" s="292">
        <f>(Z89*AA89^3/12)/AB89</f>
        <v>1953125</v>
      </c>
      <c r="AD89" s="293"/>
      <c r="AE89" s="293"/>
      <c r="AJ89" s="306"/>
      <c r="AK89" s="307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4"/>
      <c r="AW89" s="43"/>
      <c r="AX89" s="43"/>
      <c r="AY89" s="43"/>
      <c r="AZ89" s="47"/>
      <c r="BA89" s="48"/>
      <c r="BB89" s="49"/>
      <c r="BD89" s="43"/>
      <c r="BE89" s="43"/>
      <c r="BF89" s="43"/>
      <c r="BG89" s="43"/>
      <c r="BH89" s="44"/>
      <c r="BI89" s="50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4"/>
      <c r="BY89" s="44"/>
      <c r="BZ89" s="43"/>
      <c r="CA89" s="43"/>
      <c r="CB89" s="43"/>
      <c r="CC89" s="43"/>
      <c r="CD89" s="51"/>
      <c r="CE89" s="1"/>
      <c r="CF89" s="1"/>
      <c r="CG89" s="43"/>
      <c r="CH89" s="43"/>
      <c r="CI89" s="43"/>
      <c r="CJ89" s="52"/>
      <c r="CK89" s="52"/>
      <c r="CL89" s="52"/>
      <c r="CM89" s="52"/>
      <c r="CN89" s="52"/>
      <c r="CO89" s="53"/>
      <c r="CP89" s="1"/>
      <c r="CQ89" s="43"/>
      <c r="CR89" s="43"/>
      <c r="CS89" s="52"/>
      <c r="CT89" s="52"/>
      <c r="CU89" s="52"/>
      <c r="CV89" s="52"/>
      <c r="CW89" s="52"/>
      <c r="CX89" s="53"/>
      <c r="CY89" s="1"/>
      <c r="CZ89" s="52"/>
      <c r="DA89" s="52"/>
      <c r="DB89" s="54"/>
      <c r="DC89" s="54"/>
      <c r="DD89" s="52"/>
      <c r="DE89" s="52"/>
      <c r="DF89" s="52"/>
      <c r="DG89" s="53"/>
      <c r="DH89" s="1"/>
      <c r="DI89" s="52"/>
      <c r="DJ89" s="52"/>
      <c r="DK89" s="52"/>
      <c r="DL89" s="52"/>
      <c r="DM89" s="52"/>
      <c r="DN89" s="52"/>
      <c r="DO89" s="52"/>
      <c r="DP89" s="53"/>
    </row>
    <row r="90" spans="1:127" ht="16.5" customHeight="1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4" t="str">
        <f t="shared" si="301"/>
        <v>sho.col</v>
      </c>
      <c r="P90" s="46">
        <f t="shared" si="302"/>
        <v>0</v>
      </c>
      <c r="Q90" s="46">
        <f t="shared" si="303"/>
        <v>0</v>
      </c>
      <c r="R90" s="46">
        <f t="shared" si="304"/>
        <v>0</v>
      </c>
      <c r="S90" s="46">
        <f t="shared" si="305"/>
        <v>0</v>
      </c>
      <c r="U90" s="289"/>
      <c r="V90" s="301"/>
      <c r="W90" s="15" t="s">
        <v>99</v>
      </c>
      <c r="X90" s="43">
        <v>0</v>
      </c>
      <c r="Y90" s="43">
        <f>(Y87*Y88^3/12)/Y89</f>
        <v>2071197.4110032362</v>
      </c>
      <c r="Z90" s="293"/>
      <c r="AA90" s="293"/>
      <c r="AB90" s="293"/>
      <c r="AC90" s="295"/>
      <c r="AD90" s="294"/>
      <c r="AE90" s="293"/>
      <c r="AJ90" s="306"/>
      <c r="AK90" s="307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4"/>
      <c r="AW90" s="43"/>
      <c r="AX90" s="43"/>
      <c r="AY90" s="43"/>
      <c r="AZ90" s="47"/>
      <c r="BA90" s="48"/>
      <c r="BB90" s="49"/>
      <c r="BD90" s="43"/>
      <c r="BE90" s="43"/>
      <c r="BF90" s="43"/>
      <c r="BG90" s="43"/>
      <c r="BH90" s="44"/>
      <c r="BI90" s="50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4"/>
      <c r="BY90" s="44"/>
      <c r="BZ90" s="43"/>
      <c r="CA90" s="43"/>
      <c r="CB90" s="43"/>
      <c r="CC90" s="43"/>
      <c r="CD90" s="51"/>
      <c r="CE90" s="1"/>
      <c r="CF90" s="1"/>
      <c r="CG90" s="43"/>
      <c r="CH90" s="43"/>
      <c r="CI90" s="43"/>
      <c r="CJ90" s="52"/>
      <c r="CK90" s="52"/>
      <c r="CL90" s="52"/>
      <c r="CM90" s="52"/>
      <c r="CN90" s="52"/>
      <c r="CO90" s="53"/>
      <c r="CP90" s="1"/>
      <c r="CQ90" s="43"/>
      <c r="CR90" s="43"/>
      <c r="CS90" s="52"/>
      <c r="CT90" s="52"/>
      <c r="CU90" s="52"/>
      <c r="CV90" s="52"/>
      <c r="CW90" s="52"/>
      <c r="CX90" s="53"/>
      <c r="CY90" s="1"/>
      <c r="CZ90" s="52"/>
      <c r="DA90" s="52"/>
      <c r="DB90" s="54"/>
      <c r="DC90" s="54"/>
      <c r="DD90" s="52"/>
      <c r="DE90" s="52"/>
      <c r="DF90" s="52"/>
      <c r="DG90" s="53"/>
      <c r="DH90" s="1"/>
      <c r="DI90" s="52"/>
      <c r="DJ90" s="52"/>
      <c r="DK90" s="52"/>
      <c r="DL90" s="52"/>
      <c r="DM90" s="52"/>
      <c r="DN90" s="52"/>
      <c r="DO90" s="52"/>
      <c r="DP90" s="53"/>
    </row>
    <row r="91" spans="1:127" ht="16.5" customHeight="1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4" t="str">
        <f t="shared" si="301"/>
        <v>sho.col</v>
      </c>
      <c r="P91" s="46">
        <f t="shared" si="302"/>
        <v>0</v>
      </c>
      <c r="Q91" s="46">
        <f t="shared" si="303"/>
        <v>0</v>
      </c>
      <c r="R91" s="46">
        <f t="shared" si="304"/>
        <v>0</v>
      </c>
      <c r="S91" s="46">
        <f t="shared" si="305"/>
        <v>0</v>
      </c>
      <c r="U91" s="289"/>
      <c r="V91" s="300" t="s">
        <v>101</v>
      </c>
      <c r="W91" s="15" t="s">
        <v>86</v>
      </c>
      <c r="X91" s="43">
        <v>0</v>
      </c>
      <c r="Y91" s="43">
        <v>500</v>
      </c>
      <c r="Z91" s="293">
        <v>500</v>
      </c>
      <c r="AA91" s="293">
        <v>501</v>
      </c>
      <c r="AB91" s="293">
        <v>502</v>
      </c>
      <c r="AC91" s="292">
        <v>0</v>
      </c>
      <c r="AD91" s="292">
        <v>1</v>
      </c>
      <c r="AE91" s="293"/>
      <c r="AJ91" s="306"/>
      <c r="AK91" s="307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4"/>
      <c r="AW91" s="43"/>
      <c r="AX91" s="43"/>
      <c r="AY91" s="43"/>
      <c r="AZ91" s="47"/>
      <c r="BA91" s="48"/>
      <c r="BB91" s="49"/>
      <c r="BD91" s="43"/>
      <c r="BE91" s="43"/>
      <c r="BF91" s="43"/>
      <c r="BG91" s="43"/>
      <c r="BH91" s="44"/>
      <c r="BI91" s="50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4"/>
      <c r="BY91" s="44"/>
      <c r="BZ91" s="43"/>
      <c r="CA91" s="43"/>
      <c r="CB91" s="43"/>
      <c r="CC91" s="43"/>
      <c r="CD91" s="51"/>
      <c r="CE91" s="1"/>
      <c r="CF91" s="1"/>
      <c r="CG91" s="43"/>
      <c r="CH91" s="43"/>
      <c r="CI91" s="43"/>
      <c r="CJ91" s="52"/>
      <c r="CK91" s="52"/>
      <c r="CL91" s="52"/>
      <c r="CM91" s="52"/>
      <c r="CN91" s="52"/>
      <c r="CO91" s="53"/>
      <c r="CP91" s="1"/>
      <c r="CQ91" s="43"/>
      <c r="CR91" s="43"/>
      <c r="CS91" s="52"/>
      <c r="CT91" s="52"/>
      <c r="CU91" s="52"/>
      <c r="CV91" s="52"/>
      <c r="CW91" s="52"/>
      <c r="CX91" s="53"/>
      <c r="CY91" s="1"/>
      <c r="CZ91" s="52"/>
      <c r="DA91" s="52"/>
      <c r="DB91" s="54"/>
      <c r="DC91" s="54"/>
      <c r="DD91" s="52"/>
      <c r="DE91" s="52"/>
      <c r="DF91" s="52"/>
      <c r="DG91" s="53"/>
      <c r="DH91" s="1"/>
      <c r="DI91" s="52"/>
      <c r="DJ91" s="52"/>
      <c r="DK91" s="52"/>
      <c r="DL91" s="52"/>
      <c r="DM91" s="52"/>
      <c r="DN91" s="52"/>
      <c r="DO91" s="52"/>
      <c r="DP91" s="53"/>
    </row>
    <row r="92" spans="1:127" ht="16.5" customHeight="1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4" t="str">
        <f t="shared" si="301"/>
        <v>sho.col</v>
      </c>
      <c r="P92" s="46">
        <f t="shared" si="302"/>
        <v>0</v>
      </c>
      <c r="Q92" s="46">
        <f t="shared" si="303"/>
        <v>0</v>
      </c>
      <c r="R92" s="46">
        <f t="shared" si="304"/>
        <v>0</v>
      </c>
      <c r="S92" s="46">
        <f t="shared" si="305"/>
        <v>0</v>
      </c>
      <c r="U92" s="289"/>
      <c r="V92" s="298"/>
      <c r="W92" s="15" t="s">
        <v>97</v>
      </c>
      <c r="X92" s="43">
        <v>0</v>
      </c>
      <c r="Y92" s="43">
        <v>800</v>
      </c>
      <c r="Z92" s="295"/>
      <c r="AA92" s="295"/>
      <c r="AB92" s="295"/>
      <c r="AC92" s="295"/>
      <c r="AD92" s="293"/>
      <c r="AE92" s="293"/>
      <c r="AJ92" s="306"/>
      <c r="AK92" s="307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4"/>
      <c r="AW92" s="43"/>
      <c r="AX92" s="43"/>
      <c r="AY92" s="43"/>
      <c r="AZ92" s="47"/>
      <c r="BA92" s="48"/>
      <c r="BB92" s="49"/>
      <c r="BD92" s="43"/>
      <c r="BE92" s="43"/>
      <c r="BF92" s="43"/>
      <c r="BG92" s="43"/>
      <c r="BH92" s="44"/>
      <c r="BI92" s="50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4"/>
      <c r="BY92" s="44"/>
      <c r="BZ92" s="43"/>
      <c r="CA92" s="43"/>
      <c r="CB92" s="43"/>
      <c r="CC92" s="43"/>
      <c r="CD92" s="51"/>
      <c r="CE92" s="1"/>
      <c r="CF92" s="1"/>
      <c r="CG92" s="43"/>
      <c r="CH92" s="43"/>
      <c r="CI92" s="43"/>
      <c r="CJ92" s="52"/>
      <c r="CK92" s="52"/>
      <c r="CL92" s="52"/>
      <c r="CM92" s="52"/>
      <c r="CN92" s="52"/>
      <c r="CO92" s="53"/>
      <c r="CP92" s="1"/>
      <c r="CQ92" s="43"/>
      <c r="CR92" s="43"/>
      <c r="CS92" s="52"/>
      <c r="CT92" s="52"/>
      <c r="CU92" s="52"/>
      <c r="CV92" s="52"/>
      <c r="CW92" s="52"/>
      <c r="CX92" s="53"/>
      <c r="CY92" s="1"/>
      <c r="CZ92" s="52"/>
      <c r="DA92" s="52"/>
      <c r="DB92" s="54"/>
      <c r="DC92" s="54"/>
      <c r="DD92" s="52"/>
      <c r="DE92" s="52"/>
      <c r="DF92" s="52"/>
      <c r="DG92" s="53"/>
      <c r="DH92" s="1"/>
      <c r="DI92" s="52"/>
      <c r="DJ92" s="52"/>
      <c r="DK92" s="52"/>
      <c r="DL92" s="52"/>
      <c r="DM92" s="52"/>
      <c r="DN92" s="52"/>
      <c r="DO92" s="52"/>
      <c r="DP92" s="53"/>
    </row>
    <row r="93" spans="1:127" ht="16.5" customHeight="1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4" t="str">
        <f t="shared" si="301"/>
        <v>sho.col</v>
      </c>
      <c r="P93" s="46">
        <f t="shared" si="302"/>
        <v>0</v>
      </c>
      <c r="Q93" s="46">
        <f t="shared" si="303"/>
        <v>0</v>
      </c>
      <c r="R93" s="46">
        <f t="shared" si="304"/>
        <v>0</v>
      </c>
      <c r="S93" s="46">
        <f t="shared" si="305"/>
        <v>0</v>
      </c>
      <c r="U93" s="289"/>
      <c r="V93" s="298"/>
      <c r="W93" s="15" t="s">
        <v>98</v>
      </c>
      <c r="X93" s="43">
        <v>0</v>
      </c>
      <c r="Y93" s="43">
        <v>10300</v>
      </c>
      <c r="Z93" s="292">
        <v>0</v>
      </c>
      <c r="AA93" s="292">
        <v>0</v>
      </c>
      <c r="AB93" s="292">
        <v>0</v>
      </c>
      <c r="AC93" s="292">
        <v>0</v>
      </c>
      <c r="AD93" s="293"/>
      <c r="AE93" s="293"/>
      <c r="AJ93" s="306"/>
      <c r="AK93" s="307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4"/>
      <c r="AW93" s="43"/>
      <c r="AX93" s="43"/>
      <c r="AY93" s="43"/>
      <c r="AZ93" s="47"/>
      <c r="BA93" s="48"/>
      <c r="BB93" s="49"/>
      <c r="BD93" s="43"/>
      <c r="BE93" s="43"/>
      <c r="BF93" s="43"/>
      <c r="BG93" s="43"/>
      <c r="BH93" s="44"/>
      <c r="BI93" s="50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4"/>
      <c r="BY93" s="44"/>
      <c r="BZ93" s="43"/>
      <c r="CA93" s="43"/>
      <c r="CB93" s="43"/>
      <c r="CC93" s="43"/>
      <c r="CD93" s="51"/>
      <c r="CE93" s="1"/>
      <c r="CF93" s="1"/>
      <c r="CG93" s="43"/>
      <c r="CH93" s="43"/>
      <c r="CI93" s="43"/>
      <c r="CJ93" s="52"/>
      <c r="CK93" s="52"/>
      <c r="CL93" s="52"/>
      <c r="CM93" s="52"/>
      <c r="CN93" s="52"/>
      <c r="CO93" s="53"/>
      <c r="CP93" s="1"/>
      <c r="CQ93" s="43"/>
      <c r="CR93" s="43"/>
      <c r="CS93" s="52"/>
      <c r="CT93" s="52"/>
      <c r="CU93" s="52"/>
      <c r="CV93" s="52"/>
      <c r="CW93" s="52"/>
      <c r="CX93" s="53"/>
      <c r="CY93" s="1"/>
      <c r="CZ93" s="52"/>
      <c r="DA93" s="52"/>
      <c r="DB93" s="54"/>
      <c r="DC93" s="54"/>
      <c r="DD93" s="52"/>
      <c r="DE93" s="52"/>
      <c r="DF93" s="52"/>
      <c r="DG93" s="53"/>
      <c r="DH93" s="1"/>
      <c r="DI93" s="52"/>
      <c r="DJ93" s="52"/>
      <c r="DK93" s="52"/>
      <c r="DL93" s="52"/>
      <c r="DM93" s="52"/>
      <c r="DN93" s="52"/>
      <c r="DO93" s="52"/>
      <c r="DP93" s="53"/>
    </row>
    <row r="94" spans="1:127" ht="16.5" customHeight="1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4" t="str">
        <f t="shared" si="301"/>
        <v>sho.col</v>
      </c>
      <c r="P94" s="46">
        <f t="shared" si="302"/>
        <v>0</v>
      </c>
      <c r="Q94" s="46">
        <f t="shared" si="303"/>
        <v>0</v>
      </c>
      <c r="R94" s="46">
        <f t="shared" si="304"/>
        <v>0</v>
      </c>
      <c r="S94" s="46">
        <f t="shared" si="305"/>
        <v>0</v>
      </c>
      <c r="U94" s="302"/>
      <c r="V94" s="301"/>
      <c r="W94" s="15" t="s">
        <v>99</v>
      </c>
      <c r="X94" s="43">
        <v>0</v>
      </c>
      <c r="Y94" s="43">
        <f>(Y91*Y92^3/12)/Y93</f>
        <v>2071197.4110032362</v>
      </c>
      <c r="Z94" s="295"/>
      <c r="AA94" s="295"/>
      <c r="AB94" s="295"/>
      <c r="AC94" s="295"/>
      <c r="AD94" s="294"/>
      <c r="AE94" s="294"/>
      <c r="AJ94" s="306"/>
      <c r="AK94" s="307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4"/>
      <c r="AW94" s="43"/>
      <c r="AX94" s="43"/>
      <c r="AY94" s="43"/>
      <c r="AZ94" s="47"/>
      <c r="BA94" s="48"/>
      <c r="BB94" s="49"/>
      <c r="BD94" s="43"/>
      <c r="BE94" s="43"/>
      <c r="BF94" s="43"/>
      <c r="BG94" s="43"/>
      <c r="BH94" s="44"/>
      <c r="BI94" s="50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4"/>
      <c r="BY94" s="44"/>
      <c r="BZ94" s="43"/>
      <c r="CA94" s="43"/>
      <c r="CB94" s="43"/>
      <c r="CC94" s="43"/>
      <c r="CD94" s="51"/>
      <c r="CE94" s="1"/>
      <c r="CF94" s="1"/>
      <c r="CG94" s="43"/>
      <c r="CH94" s="43"/>
      <c r="CI94" s="43"/>
      <c r="CJ94" s="52"/>
      <c r="CK94" s="52"/>
      <c r="CL94" s="52"/>
      <c r="CM94" s="52"/>
      <c r="CN94" s="52"/>
      <c r="CO94" s="53"/>
      <c r="CP94" s="1"/>
      <c r="CQ94" s="43"/>
      <c r="CR94" s="43"/>
      <c r="CS94" s="52"/>
      <c r="CT94" s="52"/>
      <c r="CU94" s="52"/>
      <c r="CV94" s="52"/>
      <c r="CW94" s="52"/>
      <c r="CX94" s="53"/>
      <c r="CY94" s="1"/>
      <c r="CZ94" s="52"/>
      <c r="DA94" s="52"/>
      <c r="DB94" s="54"/>
      <c r="DC94" s="54"/>
      <c r="DD94" s="52"/>
      <c r="DE94" s="52"/>
      <c r="DF94" s="52"/>
      <c r="DG94" s="53"/>
      <c r="DH94" s="1"/>
      <c r="DI94" s="52"/>
      <c r="DJ94" s="52"/>
      <c r="DK94" s="52"/>
      <c r="DL94" s="52"/>
      <c r="DM94" s="52"/>
      <c r="DN94" s="52"/>
      <c r="DO94" s="52"/>
      <c r="DP94" s="53"/>
    </row>
    <row r="95" spans="1:127" ht="16.5" customHeight="1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4" t="str">
        <f t="shared" si="301"/>
        <v>sho.col</v>
      </c>
      <c r="P95" s="46">
        <f t="shared" si="302"/>
        <v>0</v>
      </c>
      <c r="Q95" s="46">
        <f t="shared" si="303"/>
        <v>0</v>
      </c>
      <c r="R95" s="46">
        <f t="shared" si="304"/>
        <v>0</v>
      </c>
      <c r="S95" s="46">
        <f t="shared" si="305"/>
        <v>0</v>
      </c>
      <c r="U95" s="288" t="s">
        <v>19</v>
      </c>
      <c r="V95" s="300" t="s">
        <v>100</v>
      </c>
      <c r="W95" s="15" t="s">
        <v>86</v>
      </c>
      <c r="X95" s="43">
        <v>500</v>
      </c>
      <c r="Y95" s="43">
        <v>500</v>
      </c>
      <c r="Z95" s="292">
        <v>1000</v>
      </c>
      <c r="AA95" s="292">
        <v>1000</v>
      </c>
      <c r="AB95" s="292">
        <v>4350</v>
      </c>
      <c r="AC95" s="292">
        <f>(Z95*AA95^3/12)/AB95</f>
        <v>19157088.122605361</v>
      </c>
      <c r="AD95" s="292">
        <f>(0.7*(AC95+AC97))/(0.35*(X98+Y98))</f>
        <v>6.8386875897988499</v>
      </c>
      <c r="AE95" s="292">
        <f>MIN(MIN(1,(0.7+0.05*(AD95+AD99))),MIN(1,(0.85+0.05*MIN(AD95,AD99))))</f>
        <v>0.9</v>
      </c>
      <c r="AJ95" s="306"/>
      <c r="AK95" s="307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4"/>
      <c r="AW95" s="43"/>
      <c r="AX95" s="43"/>
      <c r="AY95" s="43"/>
      <c r="AZ95" s="47"/>
      <c r="BA95" s="48"/>
      <c r="BB95" s="49"/>
      <c r="BD95" s="43"/>
      <c r="BE95" s="43"/>
      <c r="BF95" s="43"/>
      <c r="BG95" s="43"/>
      <c r="BH95" s="44"/>
      <c r="BI95" s="50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4"/>
      <c r="BY95" s="44"/>
      <c r="BZ95" s="43"/>
      <c r="CA95" s="43"/>
      <c r="CB95" s="43"/>
      <c r="CC95" s="43"/>
      <c r="CD95" s="51"/>
      <c r="CE95" s="1"/>
      <c r="CF95" s="1"/>
      <c r="CG95" s="43"/>
      <c r="CH95" s="43"/>
      <c r="CI95" s="43"/>
      <c r="CJ95" s="52"/>
      <c r="CK95" s="52"/>
      <c r="CL95" s="52"/>
      <c r="CM95" s="52"/>
      <c r="CN95" s="52"/>
      <c r="CO95" s="53"/>
      <c r="CP95" s="1"/>
      <c r="CQ95" s="43"/>
      <c r="CR95" s="43"/>
      <c r="CS95" s="52"/>
      <c r="CT95" s="52"/>
      <c r="CU95" s="52"/>
      <c r="CV95" s="52"/>
      <c r="CW95" s="52"/>
      <c r="CX95" s="53"/>
      <c r="CY95" s="1"/>
      <c r="CZ95" s="52"/>
      <c r="DA95" s="52"/>
      <c r="DB95" s="54"/>
      <c r="DC95" s="54"/>
      <c r="DD95" s="52"/>
      <c r="DE95" s="52"/>
      <c r="DF95" s="52"/>
      <c r="DG95" s="53"/>
      <c r="DH95" s="1"/>
      <c r="DI95" s="52"/>
      <c r="DJ95" s="52"/>
      <c r="DK95" s="52"/>
      <c r="DL95" s="52"/>
      <c r="DM95" s="52"/>
      <c r="DN95" s="52"/>
      <c r="DO95" s="52"/>
      <c r="DP95" s="53"/>
    </row>
    <row r="96" spans="1:127" ht="16.5" customHeight="1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4" t="str">
        <f t="shared" si="301"/>
        <v>sho.col</v>
      </c>
      <c r="P96" s="46">
        <f t="shared" si="302"/>
        <v>0</v>
      </c>
      <c r="Q96" s="46">
        <f t="shared" si="303"/>
        <v>0</v>
      </c>
      <c r="R96" s="46">
        <f t="shared" si="304"/>
        <v>0</v>
      </c>
      <c r="S96" s="46">
        <f t="shared" si="305"/>
        <v>0</v>
      </c>
      <c r="U96" s="289"/>
      <c r="V96" s="298"/>
      <c r="W96" s="15" t="s">
        <v>97</v>
      </c>
      <c r="X96" s="43">
        <v>800</v>
      </c>
      <c r="Y96" s="43">
        <v>800</v>
      </c>
      <c r="Z96" s="295"/>
      <c r="AA96" s="295"/>
      <c r="AB96" s="295"/>
      <c r="AC96" s="295"/>
      <c r="AD96" s="293"/>
      <c r="AE96" s="293"/>
      <c r="AJ96" s="306"/>
      <c r="AK96" s="307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4"/>
      <c r="AW96" s="43"/>
      <c r="AX96" s="43"/>
      <c r="AY96" s="43"/>
      <c r="AZ96" s="47"/>
      <c r="BA96" s="48"/>
      <c r="BB96" s="49"/>
      <c r="BD96" s="43"/>
      <c r="BE96" s="43"/>
      <c r="BF96" s="43"/>
      <c r="BG96" s="43"/>
      <c r="BH96" s="44"/>
      <c r="BI96" s="50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4"/>
      <c r="BY96" s="44"/>
      <c r="BZ96" s="43"/>
      <c r="CA96" s="43"/>
      <c r="CB96" s="43"/>
      <c r="CC96" s="43"/>
      <c r="CD96" s="51"/>
      <c r="CE96" s="1"/>
      <c r="CF96" s="1"/>
      <c r="CG96" s="43"/>
      <c r="CH96" s="43"/>
      <c r="CI96" s="43"/>
      <c r="CJ96" s="52"/>
      <c r="CK96" s="52"/>
      <c r="CL96" s="52"/>
      <c r="CM96" s="52"/>
      <c r="CN96" s="52"/>
      <c r="CO96" s="53"/>
      <c r="CP96" s="1"/>
      <c r="CQ96" s="43"/>
      <c r="CR96" s="43"/>
      <c r="CS96" s="52"/>
      <c r="CT96" s="52"/>
      <c r="CU96" s="52"/>
      <c r="CV96" s="52"/>
      <c r="CW96" s="52"/>
      <c r="CX96" s="53"/>
      <c r="CY96" s="1"/>
      <c r="CZ96" s="52"/>
      <c r="DA96" s="52"/>
      <c r="DB96" s="54"/>
      <c r="DC96" s="54"/>
      <c r="DD96" s="52"/>
      <c r="DE96" s="52"/>
      <c r="DF96" s="52"/>
      <c r="DG96" s="53"/>
      <c r="DH96" s="1"/>
      <c r="DI96" s="52"/>
      <c r="DJ96" s="52"/>
      <c r="DK96" s="52"/>
      <c r="DL96" s="52"/>
      <c r="DM96" s="52"/>
      <c r="DN96" s="52"/>
      <c r="DO96" s="52"/>
      <c r="DP96" s="53"/>
    </row>
    <row r="97" spans="1:120" ht="16.5" customHeight="1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4" t="str">
        <f t="shared" ref="N97:N101" si="306">IF(L97&lt;=M97,"sho.col","long.col")</f>
        <v>sho.col</v>
      </c>
      <c r="P97" s="46">
        <f t="shared" ref="P97:S101" si="307">ABS(H97)</f>
        <v>0</v>
      </c>
      <c r="Q97" s="46">
        <f t="shared" si="307"/>
        <v>0</v>
      </c>
      <c r="R97" s="46">
        <f t="shared" si="307"/>
        <v>0</v>
      </c>
      <c r="S97" s="46">
        <f t="shared" si="307"/>
        <v>0</v>
      </c>
      <c r="U97" s="289"/>
      <c r="V97" s="298"/>
      <c r="W97" s="15" t="s">
        <v>98</v>
      </c>
      <c r="X97" s="43">
        <v>10300</v>
      </c>
      <c r="Y97" s="43">
        <v>5200</v>
      </c>
      <c r="Z97" s="292">
        <f>D18</f>
        <v>300</v>
      </c>
      <c r="AA97" s="292">
        <f>E18</f>
        <v>500</v>
      </c>
      <c r="AB97" s="292">
        <f>F18</f>
        <v>1600</v>
      </c>
      <c r="AC97" s="292">
        <f>(Z97*AA97^3/12)/AB97</f>
        <v>1953125</v>
      </c>
      <c r="AD97" s="293"/>
      <c r="AE97" s="293"/>
      <c r="AJ97" s="306"/>
      <c r="AK97" s="307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4"/>
      <c r="AW97" s="43"/>
      <c r="AX97" s="43"/>
      <c r="AY97" s="43"/>
      <c r="AZ97" s="47"/>
      <c r="BA97" s="48"/>
      <c r="BB97" s="49"/>
      <c r="BD97" s="43"/>
      <c r="BE97" s="43"/>
      <c r="BF97" s="43"/>
      <c r="BG97" s="43"/>
      <c r="BH97" s="44"/>
      <c r="BI97" s="50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4"/>
      <c r="BY97" s="44"/>
      <c r="BZ97" s="43"/>
      <c r="CA97" s="43"/>
      <c r="CB97" s="43"/>
      <c r="CC97" s="43"/>
      <c r="CD97" s="51"/>
      <c r="CE97" s="1"/>
      <c r="CF97" s="1"/>
      <c r="CG97" s="43"/>
      <c r="CH97" s="43"/>
      <c r="CI97" s="43"/>
      <c r="CJ97" s="52"/>
      <c r="CK97" s="52"/>
      <c r="CL97" s="52"/>
      <c r="CM97" s="52"/>
      <c r="CN97" s="52"/>
      <c r="CO97" s="53"/>
      <c r="CP97" s="1"/>
      <c r="CQ97" s="43"/>
      <c r="CR97" s="43"/>
      <c r="CS97" s="52"/>
      <c r="CT97" s="52"/>
      <c r="CU97" s="52"/>
      <c r="CV97" s="52"/>
      <c r="CW97" s="52"/>
      <c r="CX97" s="53"/>
      <c r="CY97" s="1"/>
      <c r="CZ97" s="52"/>
      <c r="DA97" s="52"/>
      <c r="DB97" s="54"/>
      <c r="DC97" s="54"/>
      <c r="DD97" s="52"/>
      <c r="DE97" s="52"/>
      <c r="DF97" s="52"/>
      <c r="DG97" s="53"/>
      <c r="DH97" s="1"/>
      <c r="DI97" s="52"/>
      <c r="DJ97" s="52"/>
      <c r="DK97" s="52"/>
      <c r="DL97" s="52"/>
      <c r="DM97" s="52"/>
      <c r="DN97" s="52"/>
      <c r="DO97" s="52"/>
      <c r="DP97" s="53"/>
    </row>
    <row r="98" spans="1:120" ht="16.5" customHeight="1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4" t="str">
        <f t="shared" si="306"/>
        <v>sho.col</v>
      </c>
      <c r="P98" s="46">
        <f t="shared" si="307"/>
        <v>0</v>
      </c>
      <c r="Q98" s="46">
        <f t="shared" si="307"/>
        <v>0</v>
      </c>
      <c r="R98" s="46">
        <f t="shared" si="307"/>
        <v>0</v>
      </c>
      <c r="S98" s="46">
        <f t="shared" si="307"/>
        <v>0</v>
      </c>
      <c r="U98" s="289"/>
      <c r="V98" s="301"/>
      <c r="W98" s="15" t="s">
        <v>99</v>
      </c>
      <c r="X98" s="43">
        <f>(X95*X96^3/12)/X97</f>
        <v>2071197.4110032362</v>
      </c>
      <c r="Y98" s="43">
        <f>(Y95*Y96^3/12)/Y97</f>
        <v>4102564.1025641025</v>
      </c>
      <c r="Z98" s="293"/>
      <c r="AA98" s="293"/>
      <c r="AB98" s="293"/>
      <c r="AC98" s="295"/>
      <c r="AD98" s="294"/>
      <c r="AE98" s="293"/>
      <c r="AJ98" s="306"/>
      <c r="AK98" s="307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4"/>
      <c r="AW98" s="43"/>
      <c r="AX98" s="43"/>
      <c r="AY98" s="43"/>
      <c r="AZ98" s="47"/>
      <c r="BA98" s="48"/>
      <c r="BB98" s="49"/>
      <c r="BD98" s="43"/>
      <c r="BE98" s="43"/>
      <c r="BF98" s="43"/>
      <c r="BG98" s="43"/>
      <c r="BH98" s="44"/>
      <c r="BI98" s="50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4"/>
      <c r="BY98" s="44"/>
      <c r="BZ98" s="43"/>
      <c r="CA98" s="43"/>
      <c r="CB98" s="43"/>
      <c r="CC98" s="43"/>
      <c r="CD98" s="51"/>
      <c r="CE98" s="1"/>
      <c r="CF98" s="1"/>
      <c r="CG98" s="43"/>
      <c r="CH98" s="43"/>
      <c r="CI98" s="43"/>
      <c r="CJ98" s="52"/>
      <c r="CK98" s="52"/>
      <c r="CL98" s="52"/>
      <c r="CM98" s="52"/>
      <c r="CN98" s="52"/>
      <c r="CO98" s="53"/>
      <c r="CP98" s="1"/>
      <c r="CQ98" s="43"/>
      <c r="CR98" s="43"/>
      <c r="CS98" s="52"/>
      <c r="CT98" s="52"/>
      <c r="CU98" s="52"/>
      <c r="CV98" s="52"/>
      <c r="CW98" s="52"/>
      <c r="CX98" s="53"/>
      <c r="CY98" s="1"/>
      <c r="CZ98" s="52"/>
      <c r="DA98" s="52"/>
      <c r="DB98" s="54"/>
      <c r="DC98" s="54"/>
      <c r="DD98" s="52"/>
      <c r="DE98" s="52"/>
      <c r="DF98" s="52"/>
      <c r="DG98" s="53"/>
      <c r="DH98" s="1"/>
      <c r="DI98" s="52"/>
      <c r="DJ98" s="52"/>
      <c r="DK98" s="52"/>
      <c r="DL98" s="52"/>
      <c r="DM98" s="52"/>
      <c r="DN98" s="52"/>
      <c r="DO98" s="52"/>
      <c r="DP98" s="53"/>
    </row>
    <row r="99" spans="1:120" ht="16.5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4" t="str">
        <f t="shared" si="306"/>
        <v>sho.col</v>
      </c>
      <c r="P99" s="46">
        <f t="shared" si="307"/>
        <v>0</v>
      </c>
      <c r="Q99" s="46">
        <f t="shared" si="307"/>
        <v>0</v>
      </c>
      <c r="R99" s="46">
        <f t="shared" si="307"/>
        <v>0</v>
      </c>
      <c r="S99" s="46">
        <f t="shared" si="307"/>
        <v>0</v>
      </c>
      <c r="U99" s="289"/>
      <c r="V99" s="300" t="s">
        <v>101</v>
      </c>
      <c r="W99" s="15" t="s">
        <v>86</v>
      </c>
      <c r="X99" s="43">
        <v>500</v>
      </c>
      <c r="Y99" s="43">
        <v>500</v>
      </c>
      <c r="Z99" s="293">
        <v>500</v>
      </c>
      <c r="AA99" s="293">
        <v>501</v>
      </c>
      <c r="AB99" s="293">
        <v>502</v>
      </c>
      <c r="AC99" s="292">
        <v>0</v>
      </c>
      <c r="AD99" s="292">
        <v>1</v>
      </c>
      <c r="AE99" s="293"/>
    </row>
    <row r="100" spans="1:120" ht="16.5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4" t="str">
        <f t="shared" si="306"/>
        <v>sho.col</v>
      </c>
      <c r="P100" s="46">
        <f t="shared" si="307"/>
        <v>0</v>
      </c>
      <c r="Q100" s="46">
        <f t="shared" si="307"/>
        <v>0</v>
      </c>
      <c r="R100" s="46">
        <f t="shared" si="307"/>
        <v>0</v>
      </c>
      <c r="S100" s="46">
        <f t="shared" si="307"/>
        <v>0</v>
      </c>
      <c r="U100" s="289"/>
      <c r="V100" s="298"/>
      <c r="W100" s="15" t="s">
        <v>97</v>
      </c>
      <c r="X100" s="43">
        <v>800</v>
      </c>
      <c r="Y100" s="43">
        <v>800</v>
      </c>
      <c r="Z100" s="295"/>
      <c r="AA100" s="295"/>
      <c r="AB100" s="295"/>
      <c r="AC100" s="295"/>
      <c r="AD100" s="293"/>
      <c r="AE100" s="293"/>
    </row>
    <row r="101" spans="1:120" ht="16.5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4" t="str">
        <f t="shared" si="306"/>
        <v>sho.col</v>
      </c>
      <c r="P101" s="46">
        <f t="shared" si="307"/>
        <v>0</v>
      </c>
      <c r="Q101" s="46">
        <f t="shared" si="307"/>
        <v>0</v>
      </c>
      <c r="R101" s="46">
        <f t="shared" si="307"/>
        <v>0</v>
      </c>
      <c r="S101" s="46">
        <f t="shared" si="307"/>
        <v>0</v>
      </c>
      <c r="U101" s="289"/>
      <c r="V101" s="298"/>
      <c r="W101" s="15" t="s">
        <v>98</v>
      </c>
      <c r="X101" s="43">
        <v>10300</v>
      </c>
      <c r="Y101" s="43">
        <v>5200</v>
      </c>
      <c r="Z101" s="292">
        <v>0</v>
      </c>
      <c r="AA101" s="292">
        <v>0</v>
      </c>
      <c r="AB101" s="292">
        <v>0</v>
      </c>
      <c r="AC101" s="292">
        <v>0</v>
      </c>
      <c r="AD101" s="293"/>
      <c r="AE101" s="293"/>
    </row>
    <row r="102" spans="1:120" ht="16.5" customHeight="1" x14ac:dyDescent="0.2">
      <c r="O102" s="3"/>
      <c r="P102" s="3"/>
      <c r="Q102" s="3"/>
      <c r="R102" s="3"/>
      <c r="S102" s="3"/>
      <c r="U102" s="302"/>
      <c r="V102" s="301"/>
      <c r="W102" s="15" t="s">
        <v>99</v>
      </c>
      <c r="X102" s="43">
        <f>(X99*X100^3/12)/X101</f>
        <v>2071197.4110032362</v>
      </c>
      <c r="Y102" s="43">
        <f>(Y99*Y100^3/12)/Y101</f>
        <v>4102564.1025641025</v>
      </c>
      <c r="Z102" s="295"/>
      <c r="AA102" s="295"/>
      <c r="AB102" s="295"/>
      <c r="AC102" s="295"/>
      <c r="AD102" s="294"/>
      <c r="AE102" s="294"/>
    </row>
    <row r="103" spans="1:120" ht="16.5" customHeight="1" x14ac:dyDescent="0.2">
      <c r="O103" s="3"/>
      <c r="P103" s="3"/>
      <c r="Q103" s="3"/>
      <c r="R103" s="3"/>
      <c r="S103" s="3"/>
      <c r="U103" s="288" t="s">
        <v>20</v>
      </c>
      <c r="V103" s="300" t="s">
        <v>100</v>
      </c>
      <c r="W103" s="15" t="s">
        <v>86</v>
      </c>
      <c r="X103" s="43">
        <v>500</v>
      </c>
      <c r="Y103" s="43">
        <v>0</v>
      </c>
      <c r="Z103" s="292">
        <v>1000</v>
      </c>
      <c r="AA103" s="292">
        <v>1000</v>
      </c>
      <c r="AB103" s="292">
        <v>4350</v>
      </c>
      <c r="AC103" s="292">
        <f>(Z103*AA103^3/12)/AB103</f>
        <v>19157088.122605361</v>
      </c>
      <c r="AD103" s="292">
        <f>(0.7*(AC103+AC105))/(0.35*(X106+Y106))</f>
        <v>10.291228897270114</v>
      </c>
      <c r="AE103" s="292">
        <f>MIN(MIN(1,(0.7+0.05*(AD103+AD107))),MIN(1,(0.85+0.05*MIN(AD103,AD107))))</f>
        <v>0.9</v>
      </c>
    </row>
    <row r="104" spans="1:120" ht="16.5" customHeight="1" x14ac:dyDescent="0.2">
      <c r="O104" s="3"/>
      <c r="P104" s="3"/>
      <c r="Q104" s="3"/>
      <c r="R104" s="3"/>
      <c r="S104" s="3"/>
      <c r="U104" s="289"/>
      <c r="V104" s="298"/>
      <c r="W104" s="15" t="s">
        <v>97</v>
      </c>
      <c r="X104" s="43">
        <v>800</v>
      </c>
      <c r="Y104" s="43">
        <v>0</v>
      </c>
      <c r="Z104" s="295"/>
      <c r="AA104" s="295"/>
      <c r="AB104" s="295"/>
      <c r="AC104" s="295"/>
      <c r="AD104" s="293"/>
      <c r="AE104" s="293"/>
    </row>
    <row r="105" spans="1:120" ht="16.5" customHeight="1" x14ac:dyDescent="0.2">
      <c r="O105" s="3"/>
      <c r="P105" s="3"/>
      <c r="Q105" s="3"/>
      <c r="R105" s="3"/>
      <c r="S105" s="3"/>
      <c r="U105" s="289"/>
      <c r="V105" s="298"/>
      <c r="W105" s="15" t="s">
        <v>98</v>
      </c>
      <c r="X105" s="43">
        <v>5200</v>
      </c>
      <c r="Y105" s="43">
        <v>0</v>
      </c>
      <c r="Z105" s="292">
        <f>D19</f>
        <v>300</v>
      </c>
      <c r="AA105" s="292">
        <f>E19</f>
        <v>500</v>
      </c>
      <c r="AB105" s="292">
        <f>F19</f>
        <v>1600</v>
      </c>
      <c r="AC105" s="292">
        <f>(Z105*AA105^3/12)/AB105</f>
        <v>1953125</v>
      </c>
      <c r="AD105" s="293"/>
      <c r="AE105" s="293"/>
    </row>
    <row r="106" spans="1:120" ht="16.5" customHeight="1" x14ac:dyDescent="0.2">
      <c r="O106" s="3"/>
      <c r="P106" s="3"/>
      <c r="Q106" s="3"/>
      <c r="R106" s="3"/>
      <c r="S106" s="3"/>
      <c r="U106" s="289"/>
      <c r="V106" s="301"/>
      <c r="W106" s="15" t="s">
        <v>99</v>
      </c>
      <c r="X106" s="43">
        <f>(X103*X104^3/12)/X105</f>
        <v>4102564.1025641025</v>
      </c>
      <c r="Y106" s="43">
        <v>0</v>
      </c>
      <c r="Z106" s="293"/>
      <c r="AA106" s="293"/>
      <c r="AB106" s="293"/>
      <c r="AC106" s="295"/>
      <c r="AD106" s="294"/>
      <c r="AE106" s="293"/>
    </row>
    <row r="107" spans="1:120" ht="16.5" customHeight="1" x14ac:dyDescent="0.2">
      <c r="O107" s="3"/>
      <c r="P107" s="3"/>
      <c r="Q107" s="3"/>
      <c r="R107" s="3"/>
      <c r="S107" s="3"/>
      <c r="U107" s="289"/>
      <c r="V107" s="300" t="s">
        <v>101</v>
      </c>
      <c r="W107" s="15" t="s">
        <v>86</v>
      </c>
      <c r="X107" s="43">
        <v>500</v>
      </c>
      <c r="Y107" s="43">
        <v>0</v>
      </c>
      <c r="Z107" s="293">
        <v>500</v>
      </c>
      <c r="AA107" s="293">
        <v>501</v>
      </c>
      <c r="AB107" s="293">
        <v>502</v>
      </c>
      <c r="AC107" s="292">
        <v>0</v>
      </c>
      <c r="AD107" s="292">
        <v>1</v>
      </c>
      <c r="AE107" s="293"/>
    </row>
    <row r="108" spans="1:120" ht="16.5" customHeight="1" x14ac:dyDescent="0.2">
      <c r="O108" s="3"/>
      <c r="P108" s="3"/>
      <c r="Q108" s="3"/>
      <c r="R108" s="3"/>
      <c r="S108" s="3"/>
      <c r="U108" s="289"/>
      <c r="V108" s="298"/>
      <c r="W108" s="15" t="s">
        <v>97</v>
      </c>
      <c r="X108" s="43">
        <v>800</v>
      </c>
      <c r="Y108" s="43">
        <v>0</v>
      </c>
      <c r="Z108" s="295"/>
      <c r="AA108" s="295"/>
      <c r="AB108" s="295"/>
      <c r="AC108" s="295"/>
      <c r="AD108" s="293"/>
      <c r="AE108" s="293"/>
    </row>
    <row r="109" spans="1:120" ht="16.5" customHeight="1" x14ac:dyDescent="0.2">
      <c r="O109" s="3"/>
      <c r="P109" s="3"/>
      <c r="Q109" s="3"/>
      <c r="R109" s="3"/>
      <c r="S109" s="3"/>
      <c r="U109" s="289"/>
      <c r="V109" s="298"/>
      <c r="W109" s="15" t="s">
        <v>98</v>
      </c>
      <c r="X109" s="43">
        <v>5200</v>
      </c>
      <c r="Y109" s="43">
        <v>0</v>
      </c>
      <c r="Z109" s="292">
        <v>0</v>
      </c>
      <c r="AA109" s="292">
        <v>0</v>
      </c>
      <c r="AB109" s="292">
        <v>0</v>
      </c>
      <c r="AC109" s="292">
        <v>0</v>
      </c>
      <c r="AD109" s="293"/>
      <c r="AE109" s="293"/>
    </row>
    <row r="110" spans="1:120" ht="16.5" customHeight="1" x14ac:dyDescent="0.2">
      <c r="O110" s="3"/>
      <c r="P110" s="3"/>
      <c r="Q110" s="3"/>
      <c r="R110" s="3"/>
      <c r="S110" s="3"/>
      <c r="U110" s="302"/>
      <c r="V110" s="301"/>
      <c r="W110" s="15" t="s">
        <v>99</v>
      </c>
      <c r="X110" s="43">
        <f>(X107*X108^3/12)/X109</f>
        <v>4102564.1025641025</v>
      </c>
      <c r="Y110" s="43">
        <v>0</v>
      </c>
      <c r="Z110" s="295"/>
      <c r="AA110" s="295"/>
      <c r="AB110" s="295"/>
      <c r="AC110" s="295"/>
      <c r="AD110" s="294"/>
      <c r="AE110" s="294"/>
    </row>
    <row r="111" spans="1:120" ht="16.5" customHeight="1" x14ac:dyDescent="0.2">
      <c r="O111" s="3"/>
      <c r="P111" s="3"/>
      <c r="Q111" s="3"/>
      <c r="R111" s="3"/>
      <c r="S111" s="3"/>
      <c r="U111" s="288" t="s">
        <v>21</v>
      </c>
      <c r="V111" s="300" t="s">
        <v>100</v>
      </c>
      <c r="W111" s="15" t="s">
        <v>86</v>
      </c>
      <c r="X111" s="43">
        <v>500</v>
      </c>
      <c r="Y111" s="43">
        <v>0</v>
      </c>
      <c r="Z111" s="292">
        <v>1200</v>
      </c>
      <c r="AA111" s="292">
        <v>1200</v>
      </c>
      <c r="AB111" s="292">
        <v>4350</v>
      </c>
      <c r="AC111" s="292">
        <f>(Z111*AA111^3/12)/AB111</f>
        <v>39724137.931034483</v>
      </c>
      <c r="AD111" s="292">
        <f>(0.7*(AC111+AC113))/(0.35*(X114+Y114))</f>
        <v>20.317665678879312</v>
      </c>
      <c r="AE111" s="292">
        <f>MIN(MIN(1,(0.7+0.05*(AD111+AD115))),MIN(1,(0.85+0.05*MIN(AD111,AD115))))</f>
        <v>0.9</v>
      </c>
    </row>
    <row r="112" spans="1:120" ht="16.5" customHeight="1" x14ac:dyDescent="0.2">
      <c r="O112" s="3"/>
      <c r="P112" s="3"/>
      <c r="Q112" s="3"/>
      <c r="R112" s="3"/>
      <c r="S112" s="3"/>
      <c r="U112" s="289"/>
      <c r="V112" s="298"/>
      <c r="W112" s="15" t="s">
        <v>97</v>
      </c>
      <c r="X112" s="43">
        <v>800</v>
      </c>
      <c r="Y112" s="43">
        <v>0</v>
      </c>
      <c r="Z112" s="295"/>
      <c r="AA112" s="295"/>
      <c r="AB112" s="295"/>
      <c r="AC112" s="295"/>
      <c r="AD112" s="293"/>
      <c r="AE112" s="293"/>
    </row>
    <row r="113" spans="15:31" ht="16.5" customHeight="1" x14ac:dyDescent="0.2">
      <c r="O113" s="3"/>
      <c r="P113" s="3"/>
      <c r="Q113" s="3"/>
      <c r="R113" s="3"/>
      <c r="S113" s="3"/>
      <c r="U113" s="289"/>
      <c r="V113" s="298"/>
      <c r="W113" s="15" t="s">
        <v>98</v>
      </c>
      <c r="X113" s="43">
        <v>5200</v>
      </c>
      <c r="Y113" s="43">
        <v>0</v>
      </c>
      <c r="Z113" s="292">
        <f>D20</f>
        <v>300</v>
      </c>
      <c r="AA113" s="292">
        <f>E20</f>
        <v>500</v>
      </c>
      <c r="AB113" s="292">
        <f>F20</f>
        <v>1600</v>
      </c>
      <c r="AC113" s="292">
        <f>(Z113*AA113^3/12)/AB113</f>
        <v>1953125</v>
      </c>
      <c r="AD113" s="293"/>
      <c r="AE113" s="293"/>
    </row>
    <row r="114" spans="15:31" ht="16.5" customHeight="1" x14ac:dyDescent="0.2">
      <c r="O114" s="3"/>
      <c r="P114" s="3"/>
      <c r="Q114" s="3"/>
      <c r="R114" s="3"/>
      <c r="S114" s="3"/>
      <c r="U114" s="289"/>
      <c r="V114" s="301"/>
      <c r="W114" s="15" t="s">
        <v>99</v>
      </c>
      <c r="X114" s="43">
        <f>(X111*X112^3/12)/X113</f>
        <v>4102564.1025641025</v>
      </c>
      <c r="Y114" s="43">
        <v>0</v>
      </c>
      <c r="Z114" s="293"/>
      <c r="AA114" s="293"/>
      <c r="AB114" s="293"/>
      <c r="AC114" s="295"/>
      <c r="AD114" s="294"/>
      <c r="AE114" s="293"/>
    </row>
    <row r="115" spans="15:31" ht="16.5" customHeight="1" x14ac:dyDescent="0.2">
      <c r="O115" s="3"/>
      <c r="P115" s="3"/>
      <c r="Q115" s="3"/>
      <c r="R115" s="3"/>
      <c r="S115" s="3"/>
      <c r="U115" s="289"/>
      <c r="V115" s="300" t="s">
        <v>101</v>
      </c>
      <c r="W115" s="15" t="s">
        <v>86</v>
      </c>
      <c r="X115" s="43">
        <v>500</v>
      </c>
      <c r="Y115" s="43">
        <v>0</v>
      </c>
      <c r="Z115" s="293">
        <v>500</v>
      </c>
      <c r="AA115" s="293">
        <v>501</v>
      </c>
      <c r="AB115" s="293">
        <v>502</v>
      </c>
      <c r="AC115" s="292">
        <v>0</v>
      </c>
      <c r="AD115" s="292">
        <v>1</v>
      </c>
      <c r="AE115" s="293"/>
    </row>
    <row r="116" spans="15:31" ht="16.5" customHeight="1" x14ac:dyDescent="0.2">
      <c r="O116" s="3"/>
      <c r="P116" s="3"/>
      <c r="Q116" s="3"/>
      <c r="R116" s="3"/>
      <c r="S116" s="3"/>
      <c r="U116" s="289"/>
      <c r="V116" s="298"/>
      <c r="W116" s="15" t="s">
        <v>97</v>
      </c>
      <c r="X116" s="43">
        <v>800</v>
      </c>
      <c r="Y116" s="43">
        <v>0</v>
      </c>
      <c r="Z116" s="295"/>
      <c r="AA116" s="295"/>
      <c r="AB116" s="295"/>
      <c r="AC116" s="295"/>
      <c r="AD116" s="293"/>
      <c r="AE116" s="293"/>
    </row>
    <row r="117" spans="15:31" ht="16.5" customHeight="1" x14ac:dyDescent="0.2">
      <c r="O117" s="3"/>
      <c r="P117" s="3"/>
      <c r="Q117" s="3"/>
      <c r="R117" s="3"/>
      <c r="S117" s="3"/>
      <c r="U117" s="289"/>
      <c r="V117" s="298"/>
      <c r="W117" s="15" t="s">
        <v>98</v>
      </c>
      <c r="X117" s="43">
        <v>5200</v>
      </c>
      <c r="Y117" s="43">
        <v>0</v>
      </c>
      <c r="Z117" s="292">
        <v>0</v>
      </c>
      <c r="AA117" s="292">
        <v>0</v>
      </c>
      <c r="AB117" s="292">
        <v>0</v>
      </c>
      <c r="AC117" s="292">
        <v>0</v>
      </c>
      <c r="AD117" s="293"/>
      <c r="AE117" s="293"/>
    </row>
    <row r="118" spans="15:31" ht="16.5" customHeight="1" x14ac:dyDescent="0.2">
      <c r="O118" s="3"/>
      <c r="P118" s="3"/>
      <c r="Q118" s="3"/>
      <c r="R118" s="3"/>
      <c r="S118" s="3"/>
      <c r="U118" s="302"/>
      <c r="V118" s="301"/>
      <c r="W118" s="15" t="s">
        <v>99</v>
      </c>
      <c r="X118" s="43">
        <f>(X115*X116^3/12)/X117</f>
        <v>4102564.1025641025</v>
      </c>
      <c r="Y118" s="43">
        <v>0</v>
      </c>
      <c r="Z118" s="295"/>
      <c r="AA118" s="295"/>
      <c r="AB118" s="295"/>
      <c r="AC118" s="295"/>
      <c r="AD118" s="294"/>
      <c r="AE118" s="294"/>
    </row>
    <row r="119" spans="15:31" ht="16.5" customHeight="1" x14ac:dyDescent="0.2">
      <c r="O119" s="3"/>
      <c r="P119" s="3"/>
      <c r="Q119" s="3"/>
      <c r="R119" s="3"/>
      <c r="S119" s="3"/>
      <c r="U119" s="288" t="s">
        <v>22</v>
      </c>
      <c r="V119" s="300" t="s">
        <v>100</v>
      </c>
      <c r="W119" s="15" t="s">
        <v>86</v>
      </c>
      <c r="X119" s="43">
        <v>500</v>
      </c>
      <c r="Y119" s="43">
        <v>500</v>
      </c>
      <c r="Z119" s="292">
        <v>1200</v>
      </c>
      <c r="AA119" s="292">
        <v>1200</v>
      </c>
      <c r="AB119" s="292">
        <v>4350</v>
      </c>
      <c r="AC119" s="292">
        <f>(Z119*AA119^3/12)/AB119</f>
        <v>39724137.931034483</v>
      </c>
      <c r="AD119" s="292">
        <f>(0.7*(AC119+AC121))/(0.35*(X122+Y122))</f>
        <v>13.962035247497219</v>
      </c>
      <c r="AE119" s="292">
        <f>MIN(MIN(1,(0.7+0.05*(AD119+AD123))),MIN(1,(0.85+0.05*MIN(AD119,AD123))))</f>
        <v>0.9</v>
      </c>
    </row>
    <row r="120" spans="15:31" ht="16.5" customHeight="1" x14ac:dyDescent="0.2">
      <c r="O120" s="3"/>
      <c r="P120" s="3"/>
      <c r="Q120" s="3"/>
      <c r="R120" s="3"/>
      <c r="S120" s="3"/>
      <c r="U120" s="289"/>
      <c r="V120" s="298"/>
      <c r="W120" s="15" t="s">
        <v>97</v>
      </c>
      <c r="X120" s="43">
        <v>800</v>
      </c>
      <c r="Y120" s="43">
        <v>800</v>
      </c>
      <c r="Z120" s="295"/>
      <c r="AA120" s="295"/>
      <c r="AB120" s="295"/>
      <c r="AC120" s="295"/>
      <c r="AD120" s="293"/>
      <c r="AE120" s="293"/>
    </row>
    <row r="121" spans="15:31" ht="16.5" customHeight="1" x14ac:dyDescent="0.2">
      <c r="O121" s="3"/>
      <c r="P121" s="3"/>
      <c r="Q121" s="3"/>
      <c r="R121" s="3"/>
      <c r="S121" s="3"/>
      <c r="U121" s="289"/>
      <c r="V121" s="298"/>
      <c r="W121" s="15" t="s">
        <v>98</v>
      </c>
      <c r="X121" s="43">
        <v>10300</v>
      </c>
      <c r="Y121" s="43">
        <v>5200</v>
      </c>
      <c r="Z121" s="292">
        <f>D21</f>
        <v>300</v>
      </c>
      <c r="AA121" s="292">
        <f>E21</f>
        <v>600</v>
      </c>
      <c r="AB121" s="292">
        <f>F21</f>
        <v>1600</v>
      </c>
      <c r="AC121" s="292">
        <f>(Z121*AA121^3/12)/AB121</f>
        <v>3375000</v>
      </c>
      <c r="AD121" s="293"/>
      <c r="AE121" s="293"/>
    </row>
    <row r="122" spans="15:31" ht="16.5" customHeight="1" x14ac:dyDescent="0.2">
      <c r="O122" s="3"/>
      <c r="P122" s="3"/>
      <c r="Q122" s="3"/>
      <c r="R122" s="3"/>
      <c r="S122" s="3"/>
      <c r="U122" s="289"/>
      <c r="V122" s="301"/>
      <c r="W122" s="15" t="s">
        <v>99</v>
      </c>
      <c r="X122" s="43">
        <f>(X119*X120^3/12)/X121</f>
        <v>2071197.4110032362</v>
      </c>
      <c r="Y122" s="43">
        <f>(Y119*Y120^3/12)/Y121</f>
        <v>4102564.1025641025</v>
      </c>
      <c r="Z122" s="293"/>
      <c r="AA122" s="293"/>
      <c r="AB122" s="293"/>
      <c r="AC122" s="295"/>
      <c r="AD122" s="294"/>
      <c r="AE122" s="293"/>
    </row>
    <row r="123" spans="15:31" ht="16.5" customHeight="1" x14ac:dyDescent="0.2">
      <c r="O123" s="3"/>
      <c r="P123" s="3"/>
      <c r="Q123" s="3"/>
      <c r="R123" s="3"/>
      <c r="S123" s="3"/>
      <c r="U123" s="289"/>
      <c r="V123" s="300" t="s">
        <v>101</v>
      </c>
      <c r="W123" s="15" t="s">
        <v>86</v>
      </c>
      <c r="X123" s="43">
        <v>500</v>
      </c>
      <c r="Y123" s="43">
        <v>500</v>
      </c>
      <c r="Z123" s="293">
        <v>500</v>
      </c>
      <c r="AA123" s="293">
        <v>501</v>
      </c>
      <c r="AB123" s="293">
        <v>502</v>
      </c>
      <c r="AC123" s="292">
        <v>0</v>
      </c>
      <c r="AD123" s="292">
        <v>1</v>
      </c>
      <c r="AE123" s="293"/>
    </row>
    <row r="124" spans="15:31" ht="16.5" customHeight="1" x14ac:dyDescent="0.2">
      <c r="O124" s="3"/>
      <c r="P124" s="3"/>
      <c r="Q124" s="3"/>
      <c r="R124" s="3"/>
      <c r="S124" s="3"/>
      <c r="U124" s="289"/>
      <c r="V124" s="298"/>
      <c r="W124" s="15" t="s">
        <v>97</v>
      </c>
      <c r="X124" s="43">
        <v>800</v>
      </c>
      <c r="Y124" s="43">
        <v>800</v>
      </c>
      <c r="Z124" s="295"/>
      <c r="AA124" s="295"/>
      <c r="AB124" s="295"/>
      <c r="AC124" s="295"/>
      <c r="AD124" s="293"/>
      <c r="AE124" s="293"/>
    </row>
    <row r="125" spans="15:31" ht="16.5" customHeight="1" x14ac:dyDescent="0.2">
      <c r="O125" s="3"/>
      <c r="P125" s="3"/>
      <c r="Q125" s="3"/>
      <c r="R125" s="3"/>
      <c r="S125" s="3"/>
      <c r="U125" s="289"/>
      <c r="V125" s="298"/>
      <c r="W125" s="15" t="s">
        <v>98</v>
      </c>
      <c r="X125" s="43">
        <v>10300</v>
      </c>
      <c r="Y125" s="43">
        <v>5200</v>
      </c>
      <c r="Z125" s="292">
        <v>0</v>
      </c>
      <c r="AA125" s="292">
        <v>0</v>
      </c>
      <c r="AB125" s="292">
        <v>0</v>
      </c>
      <c r="AC125" s="292">
        <v>0</v>
      </c>
      <c r="AD125" s="293"/>
      <c r="AE125" s="293"/>
    </row>
    <row r="126" spans="15:31" ht="16.5" customHeight="1" x14ac:dyDescent="0.2">
      <c r="O126" s="3"/>
      <c r="P126" s="3"/>
      <c r="Q126" s="3"/>
      <c r="R126" s="3"/>
      <c r="S126" s="3"/>
      <c r="U126" s="302"/>
      <c r="V126" s="301"/>
      <c r="W126" s="15" t="s">
        <v>99</v>
      </c>
      <c r="X126" s="43">
        <f>(X123*X124^3/12)/X125</f>
        <v>2071197.4110032362</v>
      </c>
      <c r="Y126" s="43">
        <f>(Y123*Y124^3/12)/Y125</f>
        <v>4102564.1025641025</v>
      </c>
      <c r="Z126" s="295"/>
      <c r="AA126" s="295"/>
      <c r="AB126" s="295"/>
      <c r="AC126" s="295"/>
      <c r="AD126" s="294"/>
      <c r="AE126" s="294"/>
    </row>
    <row r="127" spans="15:31" ht="16.5" customHeight="1" x14ac:dyDescent="0.2">
      <c r="O127" s="3"/>
      <c r="P127" s="3"/>
      <c r="Q127" s="3"/>
      <c r="R127" s="3"/>
      <c r="S127" s="3"/>
      <c r="U127" s="288" t="s">
        <v>23</v>
      </c>
      <c r="V127" s="300" t="s">
        <v>100</v>
      </c>
      <c r="W127" s="15" t="s">
        <v>86</v>
      </c>
      <c r="X127" s="43">
        <v>500</v>
      </c>
      <c r="Y127" s="43">
        <v>500</v>
      </c>
      <c r="Z127" s="292">
        <v>1200</v>
      </c>
      <c r="AA127" s="292">
        <v>1200</v>
      </c>
      <c r="AB127" s="292">
        <v>4350</v>
      </c>
      <c r="AC127" s="292">
        <f>(Z127*AA127^3/12)/AB127</f>
        <v>39724137.931034483</v>
      </c>
      <c r="AD127" s="292">
        <f>(0.7*(AC127+AC129))/(0.35*(X130+Y130))</f>
        <v>13.217784343715239</v>
      </c>
      <c r="AE127" s="292">
        <f>MIN(MIN(1,(0.7+0.05*(AD127+AD131))),MIN(1,(0.85+0.05*MIN(AD127,AD131))))</f>
        <v>0.9</v>
      </c>
    </row>
    <row r="128" spans="15:31" ht="16.5" customHeight="1" x14ac:dyDescent="0.2">
      <c r="O128" s="3"/>
      <c r="P128" s="3"/>
      <c r="Q128" s="3"/>
      <c r="R128" s="3"/>
      <c r="S128" s="3"/>
      <c r="U128" s="289"/>
      <c r="V128" s="298"/>
      <c r="W128" s="15" t="s">
        <v>97</v>
      </c>
      <c r="X128" s="43">
        <v>800</v>
      </c>
      <c r="Y128" s="43">
        <v>800</v>
      </c>
      <c r="Z128" s="295"/>
      <c r="AA128" s="295"/>
      <c r="AB128" s="295"/>
      <c r="AC128" s="295"/>
      <c r="AD128" s="293"/>
      <c r="AE128" s="293"/>
    </row>
    <row r="129" spans="15:31" ht="16.5" customHeight="1" x14ac:dyDescent="0.2">
      <c r="O129" s="3"/>
      <c r="P129" s="3"/>
      <c r="Q129" s="3"/>
      <c r="R129" s="3"/>
      <c r="S129" s="3"/>
      <c r="U129" s="289"/>
      <c r="V129" s="298"/>
      <c r="W129" s="15" t="s">
        <v>98</v>
      </c>
      <c r="X129" s="43">
        <v>5200</v>
      </c>
      <c r="Y129" s="43">
        <v>10300</v>
      </c>
      <c r="Z129" s="292">
        <f>D22</f>
        <v>300</v>
      </c>
      <c r="AA129" s="292">
        <f>E22</f>
        <v>500</v>
      </c>
      <c r="AB129" s="292">
        <f>F22</f>
        <v>2900</v>
      </c>
      <c r="AC129" s="292">
        <f>(Z129*AA129^3/12)/AB129</f>
        <v>1077586.2068965517</v>
      </c>
      <c r="AD129" s="293"/>
      <c r="AE129" s="293"/>
    </row>
    <row r="130" spans="15:31" ht="16.5" customHeight="1" x14ac:dyDescent="0.2">
      <c r="O130" s="3"/>
      <c r="P130" s="3"/>
      <c r="Q130" s="3"/>
      <c r="R130" s="3"/>
      <c r="S130" s="3"/>
      <c r="U130" s="289"/>
      <c r="V130" s="301"/>
      <c r="W130" s="15" t="s">
        <v>99</v>
      </c>
      <c r="X130" s="43">
        <f>(X127*X128^3/12)/X129</f>
        <v>4102564.1025641025</v>
      </c>
      <c r="Y130" s="43">
        <f>(Y127*Y128^3/12)/Y129</f>
        <v>2071197.4110032362</v>
      </c>
      <c r="Z130" s="293"/>
      <c r="AA130" s="293"/>
      <c r="AB130" s="293"/>
      <c r="AC130" s="295"/>
      <c r="AD130" s="294"/>
      <c r="AE130" s="293"/>
    </row>
    <row r="131" spans="15:31" ht="16.5" customHeight="1" x14ac:dyDescent="0.2">
      <c r="O131" s="3"/>
      <c r="P131" s="3"/>
      <c r="Q131" s="3"/>
      <c r="R131" s="3"/>
      <c r="S131" s="3"/>
      <c r="U131" s="289"/>
      <c r="V131" s="300" t="s">
        <v>101</v>
      </c>
      <c r="W131" s="15" t="s">
        <v>86</v>
      </c>
      <c r="X131" s="43">
        <v>500</v>
      </c>
      <c r="Y131" s="43">
        <v>500</v>
      </c>
      <c r="Z131" s="293">
        <v>500</v>
      </c>
      <c r="AA131" s="293">
        <v>501</v>
      </c>
      <c r="AB131" s="293">
        <v>502</v>
      </c>
      <c r="AC131" s="292">
        <v>0</v>
      </c>
      <c r="AD131" s="292">
        <v>1</v>
      </c>
      <c r="AE131" s="293"/>
    </row>
    <row r="132" spans="15:31" ht="16.5" customHeight="1" x14ac:dyDescent="0.2">
      <c r="O132" s="3"/>
      <c r="P132" s="3"/>
      <c r="Q132" s="3"/>
      <c r="R132" s="3"/>
      <c r="S132" s="3"/>
      <c r="U132" s="289"/>
      <c r="V132" s="298"/>
      <c r="W132" s="15" t="s">
        <v>97</v>
      </c>
      <c r="X132" s="43">
        <v>800</v>
      </c>
      <c r="Y132" s="43">
        <v>800</v>
      </c>
      <c r="Z132" s="295"/>
      <c r="AA132" s="295"/>
      <c r="AB132" s="295"/>
      <c r="AC132" s="295"/>
      <c r="AD132" s="293"/>
      <c r="AE132" s="293"/>
    </row>
    <row r="133" spans="15:31" ht="16.5" customHeight="1" x14ac:dyDescent="0.2">
      <c r="O133" s="3"/>
      <c r="P133" s="3"/>
      <c r="Q133" s="3"/>
      <c r="R133" s="3"/>
      <c r="S133" s="3"/>
      <c r="U133" s="289"/>
      <c r="V133" s="298"/>
      <c r="W133" s="15" t="s">
        <v>98</v>
      </c>
      <c r="X133" s="43">
        <v>5200</v>
      </c>
      <c r="Y133" s="43">
        <v>10300</v>
      </c>
      <c r="Z133" s="292">
        <v>0</v>
      </c>
      <c r="AA133" s="292">
        <v>0</v>
      </c>
      <c r="AB133" s="292">
        <v>0</v>
      </c>
      <c r="AC133" s="292">
        <v>0</v>
      </c>
      <c r="AD133" s="293"/>
      <c r="AE133" s="293"/>
    </row>
    <row r="134" spans="15:31" ht="16.5" customHeight="1" x14ac:dyDescent="0.2">
      <c r="O134" s="3"/>
      <c r="P134" s="3"/>
      <c r="Q134" s="3"/>
      <c r="R134" s="3"/>
      <c r="S134" s="3"/>
      <c r="U134" s="302"/>
      <c r="V134" s="301"/>
      <c r="W134" s="15" t="s">
        <v>99</v>
      </c>
      <c r="X134" s="43">
        <f>(X131*X132^3/12)/X133</f>
        <v>4102564.1025641025</v>
      </c>
      <c r="Y134" s="43">
        <f>(Y131*Y132^3/12)/Y133</f>
        <v>2071197.4110032362</v>
      </c>
      <c r="Z134" s="295"/>
      <c r="AA134" s="295"/>
      <c r="AB134" s="295"/>
      <c r="AC134" s="295"/>
      <c r="AD134" s="294"/>
      <c r="AE134" s="294"/>
    </row>
    <row r="135" spans="15:31" ht="16.5" customHeight="1" x14ac:dyDescent="0.2">
      <c r="O135" s="3"/>
      <c r="P135" s="3"/>
      <c r="Q135" s="3"/>
      <c r="R135" s="3"/>
      <c r="S135" s="3"/>
      <c r="U135" s="288" t="s">
        <v>24</v>
      </c>
      <c r="V135" s="300" t="s">
        <v>100</v>
      </c>
      <c r="W135" s="15" t="s">
        <v>86</v>
      </c>
      <c r="X135" s="43">
        <v>0</v>
      </c>
      <c r="Y135" s="43">
        <v>500</v>
      </c>
      <c r="Z135" s="292">
        <v>1200</v>
      </c>
      <c r="AA135" s="292">
        <v>1200</v>
      </c>
      <c r="AB135" s="292">
        <v>4350</v>
      </c>
      <c r="AC135" s="292">
        <f>(Z135*AA135^3/12)/AB135</f>
        <v>39724137.931034483</v>
      </c>
      <c r="AD135" s="292">
        <f>(0.7*(AC135+AC137))/(0.35*(X138+Y138))</f>
        <v>19.890840517241379</v>
      </c>
      <c r="AE135" s="292">
        <f>MIN(MIN(1,(0.7+0.05*(AD135+AD139))),MIN(1,(0.85+0.05*MIN(AD135,AD139))))</f>
        <v>0.9</v>
      </c>
    </row>
    <row r="136" spans="15:31" ht="16.5" customHeight="1" x14ac:dyDescent="0.2">
      <c r="O136" s="3"/>
      <c r="P136" s="3"/>
      <c r="Q136" s="3"/>
      <c r="R136" s="3"/>
      <c r="S136" s="3"/>
      <c r="U136" s="289"/>
      <c r="V136" s="298"/>
      <c r="W136" s="15" t="s">
        <v>97</v>
      </c>
      <c r="X136" s="43">
        <v>0</v>
      </c>
      <c r="Y136" s="43">
        <v>800</v>
      </c>
      <c r="Z136" s="295"/>
      <c r="AA136" s="295"/>
      <c r="AB136" s="295"/>
      <c r="AC136" s="295"/>
      <c r="AD136" s="293"/>
      <c r="AE136" s="293"/>
    </row>
    <row r="137" spans="15:31" ht="16.5" customHeight="1" x14ac:dyDescent="0.2">
      <c r="O137" s="3"/>
      <c r="P137" s="3"/>
      <c r="Q137" s="3"/>
      <c r="R137" s="3"/>
      <c r="S137" s="3"/>
      <c r="U137" s="289"/>
      <c r="V137" s="298"/>
      <c r="W137" s="15" t="s">
        <v>98</v>
      </c>
      <c r="X137" s="43">
        <v>0</v>
      </c>
      <c r="Y137" s="43">
        <v>5200</v>
      </c>
      <c r="Z137" s="292">
        <f>D23</f>
        <v>300</v>
      </c>
      <c r="AA137" s="292">
        <f>E23</f>
        <v>500</v>
      </c>
      <c r="AB137" s="292">
        <f>F23</f>
        <v>2900</v>
      </c>
      <c r="AC137" s="292">
        <f>(Z137*AA137^3/12)/AB137</f>
        <v>1077586.2068965517</v>
      </c>
      <c r="AD137" s="293"/>
      <c r="AE137" s="293"/>
    </row>
    <row r="138" spans="15:31" ht="16.5" customHeight="1" x14ac:dyDescent="0.2">
      <c r="O138" s="3"/>
      <c r="P138" s="3"/>
      <c r="Q138" s="3"/>
      <c r="R138" s="3"/>
      <c r="S138" s="3"/>
      <c r="U138" s="289"/>
      <c r="V138" s="301"/>
      <c r="W138" s="15" t="s">
        <v>99</v>
      </c>
      <c r="X138" s="43">
        <v>0</v>
      </c>
      <c r="Y138" s="43">
        <f>(Y135*Y136^3/12)/Y137</f>
        <v>4102564.1025641025</v>
      </c>
      <c r="Z138" s="293"/>
      <c r="AA138" s="293"/>
      <c r="AB138" s="293"/>
      <c r="AC138" s="295"/>
      <c r="AD138" s="294"/>
      <c r="AE138" s="293"/>
    </row>
    <row r="139" spans="15:31" ht="16.5" customHeight="1" x14ac:dyDescent="0.2">
      <c r="O139" s="3"/>
      <c r="P139" s="3"/>
      <c r="Q139" s="3"/>
      <c r="R139" s="3"/>
      <c r="S139" s="3"/>
      <c r="U139" s="289"/>
      <c r="V139" s="300" t="s">
        <v>101</v>
      </c>
      <c r="W139" s="15" t="s">
        <v>86</v>
      </c>
      <c r="X139" s="43">
        <v>0</v>
      </c>
      <c r="Y139" s="43">
        <v>500</v>
      </c>
      <c r="Z139" s="293">
        <v>500</v>
      </c>
      <c r="AA139" s="293">
        <v>501</v>
      </c>
      <c r="AB139" s="293">
        <v>502</v>
      </c>
      <c r="AC139" s="292">
        <v>0</v>
      </c>
      <c r="AD139" s="292">
        <v>1</v>
      </c>
      <c r="AE139" s="293"/>
    </row>
    <row r="140" spans="15:31" ht="16.5" customHeight="1" x14ac:dyDescent="0.2">
      <c r="O140" s="3"/>
      <c r="P140" s="3"/>
      <c r="Q140" s="3"/>
      <c r="R140" s="3"/>
      <c r="S140" s="3"/>
      <c r="U140" s="289"/>
      <c r="V140" s="298"/>
      <c r="W140" s="15" t="s">
        <v>97</v>
      </c>
      <c r="X140" s="43">
        <v>0</v>
      </c>
      <c r="Y140" s="43">
        <v>800</v>
      </c>
      <c r="Z140" s="295"/>
      <c r="AA140" s="295"/>
      <c r="AB140" s="295"/>
      <c r="AC140" s="295"/>
      <c r="AD140" s="293"/>
      <c r="AE140" s="293"/>
    </row>
    <row r="141" spans="15:31" ht="16.5" customHeight="1" x14ac:dyDescent="0.2">
      <c r="O141" s="3"/>
      <c r="P141" s="3"/>
      <c r="Q141" s="3"/>
      <c r="R141" s="3"/>
      <c r="S141" s="3"/>
      <c r="U141" s="289"/>
      <c r="V141" s="298"/>
      <c r="W141" s="15" t="s">
        <v>98</v>
      </c>
      <c r="X141" s="43">
        <v>0</v>
      </c>
      <c r="Y141" s="43">
        <v>5200</v>
      </c>
      <c r="Z141" s="292">
        <v>0</v>
      </c>
      <c r="AA141" s="292">
        <v>0</v>
      </c>
      <c r="AB141" s="292">
        <v>0</v>
      </c>
      <c r="AC141" s="292">
        <v>0</v>
      </c>
      <c r="AD141" s="293"/>
      <c r="AE141" s="293"/>
    </row>
    <row r="142" spans="15:31" ht="16.5" customHeight="1" x14ac:dyDescent="0.2">
      <c r="O142" s="3"/>
      <c r="P142" s="3"/>
      <c r="Q142" s="3"/>
      <c r="R142" s="3"/>
      <c r="S142" s="3"/>
      <c r="U142" s="302"/>
      <c r="V142" s="301"/>
      <c r="W142" s="15" t="s">
        <v>99</v>
      </c>
      <c r="X142" s="43">
        <v>0</v>
      </c>
      <c r="Y142" s="43">
        <f>(Y139*Y140^3/12)/Y141</f>
        <v>4102564.1025641025</v>
      </c>
      <c r="Z142" s="295"/>
      <c r="AA142" s="295"/>
      <c r="AB142" s="295"/>
      <c r="AC142" s="295"/>
      <c r="AD142" s="294"/>
      <c r="AE142" s="294"/>
    </row>
    <row r="143" spans="15:31" ht="16.5" customHeight="1" x14ac:dyDescent="0.2">
      <c r="O143" s="3"/>
      <c r="P143" s="3"/>
      <c r="Q143" s="3"/>
      <c r="R143" s="3"/>
      <c r="S143" s="3"/>
      <c r="U143" s="288" t="s">
        <v>25</v>
      </c>
      <c r="V143" s="300" t="s">
        <v>100</v>
      </c>
      <c r="W143" s="15" t="s">
        <v>86</v>
      </c>
      <c r="X143" s="43">
        <v>500</v>
      </c>
      <c r="Y143" s="43">
        <v>0</v>
      </c>
      <c r="Z143" s="292">
        <v>1000</v>
      </c>
      <c r="AA143" s="292">
        <v>1000</v>
      </c>
      <c r="AB143" s="292">
        <v>4350</v>
      </c>
      <c r="AC143" s="292">
        <f>(Z143*AA143^3/12)/AB143</f>
        <v>19157088.122605361</v>
      </c>
      <c r="AD143" s="292">
        <f>(0.7*(AC143+AC145))/(0.35*(X146+Y146))</f>
        <v>23.382290336313321</v>
      </c>
      <c r="AE143" s="292">
        <f>MIN(MIN(1,(0.7+0.05*(AD143+AD147))),MIN(1,(0.85+0.05*MIN(AD143,AD147))))</f>
        <v>0.9</v>
      </c>
    </row>
    <row r="144" spans="15:31" ht="16.5" customHeight="1" x14ac:dyDescent="0.2">
      <c r="O144" s="3"/>
      <c r="P144" s="3"/>
      <c r="Q144" s="3"/>
      <c r="R144" s="3"/>
      <c r="S144" s="3"/>
      <c r="U144" s="289"/>
      <c r="V144" s="298"/>
      <c r="W144" s="15" t="s">
        <v>97</v>
      </c>
      <c r="X144" s="43">
        <v>600</v>
      </c>
      <c r="Y144" s="43">
        <v>0</v>
      </c>
      <c r="Z144" s="295"/>
      <c r="AA144" s="295"/>
      <c r="AB144" s="295"/>
      <c r="AC144" s="295"/>
      <c r="AD144" s="293"/>
      <c r="AE144" s="293"/>
    </row>
    <row r="145" spans="15:31" ht="16.5" customHeight="1" x14ac:dyDescent="0.2">
      <c r="O145" s="3"/>
      <c r="P145" s="3"/>
      <c r="Q145" s="3"/>
      <c r="R145" s="3"/>
      <c r="S145" s="3"/>
      <c r="U145" s="289"/>
      <c r="V145" s="298"/>
      <c r="W145" s="15" t="s">
        <v>98</v>
      </c>
      <c r="X145" s="43">
        <v>5200</v>
      </c>
      <c r="Y145" s="43">
        <v>0</v>
      </c>
      <c r="Z145" s="292">
        <f>D24</f>
        <v>300</v>
      </c>
      <c r="AA145" s="292">
        <f>E24</f>
        <v>500</v>
      </c>
      <c r="AB145" s="292">
        <f>F24</f>
        <v>2900</v>
      </c>
      <c r="AC145" s="292">
        <f>(Z145*AA145^3/12)/AB145</f>
        <v>1077586.2068965517</v>
      </c>
      <c r="AD145" s="293"/>
      <c r="AE145" s="293"/>
    </row>
    <row r="146" spans="15:31" ht="16.5" customHeight="1" x14ac:dyDescent="0.2">
      <c r="O146" s="3"/>
      <c r="P146" s="3"/>
      <c r="Q146" s="3"/>
      <c r="R146" s="3"/>
      <c r="S146" s="3"/>
      <c r="U146" s="289"/>
      <c r="V146" s="301"/>
      <c r="W146" s="15" t="s">
        <v>99</v>
      </c>
      <c r="X146" s="43">
        <f>(X143*X144^3/12)/X145</f>
        <v>1730769.2307692308</v>
      </c>
      <c r="Y146" s="43">
        <v>0</v>
      </c>
      <c r="Z146" s="293"/>
      <c r="AA146" s="293"/>
      <c r="AB146" s="293"/>
      <c r="AC146" s="295"/>
      <c r="AD146" s="294"/>
      <c r="AE146" s="293"/>
    </row>
    <row r="147" spans="15:31" ht="16.5" customHeight="1" x14ac:dyDescent="0.2">
      <c r="O147" s="3"/>
      <c r="P147" s="3"/>
      <c r="Q147" s="3"/>
      <c r="R147" s="3"/>
      <c r="S147" s="3"/>
      <c r="U147" s="289"/>
      <c r="V147" s="300" t="s">
        <v>101</v>
      </c>
      <c r="W147" s="15" t="s">
        <v>86</v>
      </c>
      <c r="X147" s="43">
        <v>500</v>
      </c>
      <c r="Y147" s="43">
        <v>0</v>
      </c>
      <c r="Z147" s="293">
        <v>500</v>
      </c>
      <c r="AA147" s="293">
        <v>501</v>
      </c>
      <c r="AB147" s="293">
        <v>502</v>
      </c>
      <c r="AC147" s="292">
        <v>0</v>
      </c>
      <c r="AD147" s="292">
        <v>1</v>
      </c>
      <c r="AE147" s="293"/>
    </row>
    <row r="148" spans="15:31" ht="16.5" customHeight="1" x14ac:dyDescent="0.2">
      <c r="O148" s="3"/>
      <c r="P148" s="3"/>
      <c r="Q148" s="3"/>
      <c r="R148" s="3"/>
      <c r="S148" s="3"/>
      <c r="U148" s="289"/>
      <c r="V148" s="298"/>
      <c r="W148" s="15" t="s">
        <v>97</v>
      </c>
      <c r="X148" s="43">
        <v>600</v>
      </c>
      <c r="Y148" s="43">
        <v>0</v>
      </c>
      <c r="Z148" s="295"/>
      <c r="AA148" s="295"/>
      <c r="AB148" s="295"/>
      <c r="AC148" s="295"/>
      <c r="AD148" s="293"/>
      <c r="AE148" s="293"/>
    </row>
    <row r="149" spans="15:31" ht="16.5" customHeight="1" x14ac:dyDescent="0.2">
      <c r="O149" s="3"/>
      <c r="P149" s="3"/>
      <c r="Q149" s="3"/>
      <c r="R149" s="3"/>
      <c r="S149" s="3"/>
      <c r="U149" s="289"/>
      <c r="V149" s="298"/>
      <c r="W149" s="15" t="s">
        <v>98</v>
      </c>
      <c r="X149" s="43">
        <v>5200</v>
      </c>
      <c r="Y149" s="43">
        <v>0</v>
      </c>
      <c r="Z149" s="292">
        <v>0</v>
      </c>
      <c r="AA149" s="292">
        <v>0</v>
      </c>
      <c r="AB149" s="292">
        <v>0</v>
      </c>
      <c r="AC149" s="292">
        <v>0</v>
      </c>
      <c r="AD149" s="293"/>
      <c r="AE149" s="293"/>
    </row>
    <row r="150" spans="15:31" ht="16.5" customHeight="1" x14ac:dyDescent="0.2">
      <c r="O150" s="3"/>
      <c r="P150" s="3"/>
      <c r="Q150" s="3"/>
      <c r="R150" s="3"/>
      <c r="S150" s="3"/>
      <c r="U150" s="302"/>
      <c r="V150" s="301"/>
      <c r="W150" s="15" t="s">
        <v>99</v>
      </c>
      <c r="X150" s="43">
        <f>(X147*X148^3/12)/X149</f>
        <v>1730769.2307692308</v>
      </c>
      <c r="Y150" s="43">
        <v>0</v>
      </c>
      <c r="Z150" s="295"/>
      <c r="AA150" s="295"/>
      <c r="AB150" s="295"/>
      <c r="AC150" s="295"/>
      <c r="AD150" s="294"/>
      <c r="AE150" s="294"/>
    </row>
    <row r="151" spans="15:31" ht="16.5" customHeight="1" x14ac:dyDescent="0.2">
      <c r="O151" s="3"/>
      <c r="P151" s="3"/>
      <c r="Q151" s="3"/>
      <c r="R151" s="3"/>
      <c r="S151" s="3"/>
      <c r="U151" s="288" t="s">
        <v>26</v>
      </c>
      <c r="V151" s="300" t="s">
        <v>100</v>
      </c>
      <c r="W151" s="15" t="s">
        <v>86</v>
      </c>
      <c r="X151" s="43">
        <v>0</v>
      </c>
      <c r="Y151" s="43">
        <v>500</v>
      </c>
      <c r="Z151" s="292">
        <v>900</v>
      </c>
      <c r="AA151" s="292">
        <v>900</v>
      </c>
      <c r="AB151" s="292">
        <v>4350</v>
      </c>
      <c r="AC151" s="292">
        <f>(Z151*AA151^3/12)/AB151</f>
        <v>12568965.517241379</v>
      </c>
      <c r="AD151" s="292">
        <f>(0.7*(AC151+AC153))/(0.35*(X154+Y154))</f>
        <v>15.76934865900383</v>
      </c>
      <c r="AE151" s="292">
        <f>MIN(MIN(1,(0.7+0.05*(AD151+AD155))),MIN(1,(0.85+0.05*MIN(AD151,AD155))))</f>
        <v>0.9</v>
      </c>
    </row>
    <row r="152" spans="15:31" ht="16.5" customHeight="1" x14ac:dyDescent="0.2">
      <c r="O152" s="3"/>
      <c r="P152" s="3"/>
      <c r="Q152" s="3"/>
      <c r="R152" s="3"/>
      <c r="S152" s="3"/>
      <c r="U152" s="289"/>
      <c r="V152" s="298"/>
      <c r="W152" s="15" t="s">
        <v>97</v>
      </c>
      <c r="X152" s="43">
        <v>0</v>
      </c>
      <c r="Y152" s="43">
        <v>600</v>
      </c>
      <c r="Z152" s="295"/>
      <c r="AA152" s="295"/>
      <c r="AB152" s="295"/>
      <c r="AC152" s="295"/>
      <c r="AD152" s="293"/>
      <c r="AE152" s="293"/>
    </row>
    <row r="153" spans="15:31" ht="16.5" customHeight="1" x14ac:dyDescent="0.2">
      <c r="O153" s="3"/>
      <c r="P153" s="3"/>
      <c r="Q153" s="3"/>
      <c r="R153" s="3"/>
      <c r="S153" s="3"/>
      <c r="U153" s="289"/>
      <c r="V153" s="298"/>
      <c r="W153" s="15" t="s">
        <v>98</v>
      </c>
      <c r="X153" s="43">
        <v>0</v>
      </c>
      <c r="Y153" s="43">
        <v>5200</v>
      </c>
      <c r="Z153" s="292">
        <f>D25</f>
        <v>300</v>
      </c>
      <c r="AA153" s="292">
        <f>E25</f>
        <v>500</v>
      </c>
      <c r="AB153" s="292">
        <f>F25</f>
        <v>2900</v>
      </c>
      <c r="AC153" s="292">
        <f>(Z153*AA153^3/12)/AB153</f>
        <v>1077586.2068965517</v>
      </c>
      <c r="AD153" s="293"/>
      <c r="AE153" s="293"/>
    </row>
    <row r="154" spans="15:31" ht="16.5" customHeight="1" x14ac:dyDescent="0.2">
      <c r="O154" s="3"/>
      <c r="P154" s="3"/>
      <c r="Q154" s="3"/>
      <c r="R154" s="3"/>
      <c r="S154" s="3"/>
      <c r="U154" s="289"/>
      <c r="V154" s="301"/>
      <c r="W154" s="15" t="s">
        <v>99</v>
      </c>
      <c r="X154" s="43">
        <v>0</v>
      </c>
      <c r="Y154" s="43">
        <f>(Y151*Y152^3/12)/Y153</f>
        <v>1730769.2307692308</v>
      </c>
      <c r="Z154" s="293"/>
      <c r="AA154" s="293"/>
      <c r="AB154" s="293"/>
      <c r="AC154" s="295"/>
      <c r="AD154" s="294"/>
      <c r="AE154" s="293"/>
    </row>
    <row r="155" spans="15:31" ht="16.5" customHeight="1" x14ac:dyDescent="0.2">
      <c r="O155" s="3"/>
      <c r="P155" s="3"/>
      <c r="Q155" s="3"/>
      <c r="R155" s="3"/>
      <c r="S155" s="3"/>
      <c r="U155" s="289"/>
      <c r="V155" s="300" t="s">
        <v>101</v>
      </c>
      <c r="W155" s="15" t="s">
        <v>86</v>
      </c>
      <c r="X155" s="43">
        <v>0</v>
      </c>
      <c r="Y155" s="43">
        <v>500</v>
      </c>
      <c r="Z155" s="293">
        <v>500</v>
      </c>
      <c r="AA155" s="293">
        <v>501</v>
      </c>
      <c r="AB155" s="293">
        <v>502</v>
      </c>
      <c r="AC155" s="292">
        <v>0</v>
      </c>
      <c r="AD155" s="292">
        <v>1</v>
      </c>
      <c r="AE155" s="293"/>
    </row>
    <row r="156" spans="15:31" ht="16.5" customHeight="1" x14ac:dyDescent="0.2">
      <c r="O156" s="3"/>
      <c r="P156" s="3"/>
      <c r="Q156" s="3"/>
      <c r="R156" s="3"/>
      <c r="S156" s="3"/>
      <c r="U156" s="289"/>
      <c r="V156" s="298"/>
      <c r="W156" s="15" t="s">
        <v>97</v>
      </c>
      <c r="X156" s="43">
        <v>0</v>
      </c>
      <c r="Y156" s="43">
        <v>600</v>
      </c>
      <c r="Z156" s="295"/>
      <c r="AA156" s="295"/>
      <c r="AB156" s="295"/>
      <c r="AC156" s="295"/>
      <c r="AD156" s="293"/>
      <c r="AE156" s="293"/>
    </row>
    <row r="157" spans="15:31" ht="16.5" customHeight="1" x14ac:dyDescent="0.2">
      <c r="O157" s="3"/>
      <c r="P157" s="3"/>
      <c r="Q157" s="3"/>
      <c r="R157" s="3"/>
      <c r="S157" s="3"/>
      <c r="U157" s="289"/>
      <c r="V157" s="298"/>
      <c r="W157" s="15" t="s">
        <v>98</v>
      </c>
      <c r="X157" s="43">
        <v>0</v>
      </c>
      <c r="Y157" s="43">
        <v>5200</v>
      </c>
      <c r="Z157" s="292">
        <v>0</v>
      </c>
      <c r="AA157" s="292">
        <v>0</v>
      </c>
      <c r="AB157" s="292">
        <v>0</v>
      </c>
      <c r="AC157" s="292">
        <v>0</v>
      </c>
      <c r="AD157" s="293"/>
      <c r="AE157" s="293"/>
    </row>
    <row r="158" spans="15:31" ht="16.5" customHeight="1" x14ac:dyDescent="0.2">
      <c r="O158" s="3"/>
      <c r="P158" s="3"/>
      <c r="Q158" s="3"/>
      <c r="R158" s="3"/>
      <c r="S158" s="3"/>
      <c r="U158" s="302"/>
      <c r="V158" s="301"/>
      <c r="W158" s="15" t="s">
        <v>99</v>
      </c>
      <c r="X158" s="43">
        <v>0</v>
      </c>
      <c r="Y158" s="43">
        <f>(Y155*Y156^3/12)/Y157</f>
        <v>1730769.2307692308</v>
      </c>
      <c r="Z158" s="295"/>
      <c r="AA158" s="295"/>
      <c r="AB158" s="295"/>
      <c r="AC158" s="295"/>
      <c r="AD158" s="294"/>
      <c r="AE158" s="294"/>
    </row>
    <row r="159" spans="15:31" ht="16.5" customHeight="1" x14ac:dyDescent="0.2">
      <c r="O159" s="3"/>
      <c r="P159" s="3"/>
      <c r="Q159" s="3"/>
      <c r="R159" s="3"/>
      <c r="S159" s="3"/>
      <c r="U159" s="288" t="s">
        <v>27</v>
      </c>
      <c r="V159" s="300" t="s">
        <v>100</v>
      </c>
      <c r="W159" s="15" t="s">
        <v>86</v>
      </c>
      <c r="X159" s="43">
        <v>500</v>
      </c>
      <c r="Y159" s="43">
        <v>500</v>
      </c>
      <c r="Z159" s="292">
        <v>1000</v>
      </c>
      <c r="AA159" s="292">
        <v>1000</v>
      </c>
      <c r="AB159" s="292">
        <v>4350</v>
      </c>
      <c r="AC159" s="292">
        <f>(Z159*AA159^3/12)/AB159</f>
        <v>19157088.122605361</v>
      </c>
      <c r="AD159" s="292">
        <f>(0.7*(AC159+AC161))/(0.35*(X162+Y162))</f>
        <v>15.262088191268761</v>
      </c>
      <c r="AE159" s="292">
        <f>MIN(MIN(1,(0.7+0.05*(AD159+AD163))),MIN(1,(0.85+0.05*MIN(AD159,AD163))))</f>
        <v>0.9</v>
      </c>
    </row>
    <row r="160" spans="15:31" ht="16.5" customHeight="1" x14ac:dyDescent="0.2">
      <c r="O160" s="3"/>
      <c r="P160" s="3"/>
      <c r="Q160" s="3"/>
      <c r="R160" s="3"/>
      <c r="S160" s="3"/>
      <c r="U160" s="289"/>
      <c r="V160" s="298"/>
      <c r="W160" s="15" t="s">
        <v>97</v>
      </c>
      <c r="X160" s="43">
        <v>600</v>
      </c>
      <c r="Y160" s="43">
        <v>600</v>
      </c>
      <c r="Z160" s="295"/>
      <c r="AA160" s="295"/>
      <c r="AB160" s="295"/>
      <c r="AC160" s="295"/>
      <c r="AD160" s="293"/>
      <c r="AE160" s="293"/>
    </row>
    <row r="161" spans="15:31" ht="16.5" customHeight="1" x14ac:dyDescent="0.2">
      <c r="O161" s="3"/>
      <c r="P161" s="3"/>
      <c r="Q161" s="3"/>
      <c r="R161" s="3"/>
      <c r="S161" s="3"/>
      <c r="U161" s="289"/>
      <c r="V161" s="298"/>
      <c r="W161" s="15" t="s">
        <v>98</v>
      </c>
      <c r="X161" s="43">
        <v>10300</v>
      </c>
      <c r="Y161" s="43">
        <v>5200</v>
      </c>
      <c r="Z161" s="292">
        <f>D26</f>
        <v>200</v>
      </c>
      <c r="AA161" s="292">
        <f>E26</f>
        <v>500</v>
      </c>
      <c r="AB161" s="292">
        <f>F26</f>
        <v>2900</v>
      </c>
      <c r="AC161" s="292">
        <f>(Z161*AA161^3/12)/AB161</f>
        <v>718390.80459770118</v>
      </c>
      <c r="AD161" s="293"/>
      <c r="AE161" s="293"/>
    </row>
    <row r="162" spans="15:31" ht="16.5" customHeight="1" x14ac:dyDescent="0.2">
      <c r="O162" s="3"/>
      <c r="P162" s="3"/>
      <c r="Q162" s="3"/>
      <c r="R162" s="3"/>
      <c r="S162" s="3"/>
      <c r="U162" s="289"/>
      <c r="V162" s="301"/>
      <c r="W162" s="15" t="s">
        <v>99</v>
      </c>
      <c r="X162" s="43">
        <f>(X159*X160^3/12)/X161</f>
        <v>873786.40776699025</v>
      </c>
      <c r="Y162" s="43">
        <f>(Y159*Y160^3/12)/Y161</f>
        <v>1730769.2307692308</v>
      </c>
      <c r="Z162" s="293"/>
      <c r="AA162" s="293"/>
      <c r="AB162" s="293"/>
      <c r="AC162" s="295"/>
      <c r="AD162" s="294"/>
      <c r="AE162" s="293"/>
    </row>
    <row r="163" spans="15:31" ht="16.5" customHeight="1" x14ac:dyDescent="0.2">
      <c r="O163" s="3"/>
      <c r="P163" s="3"/>
      <c r="Q163" s="3"/>
      <c r="R163" s="3"/>
      <c r="S163" s="3"/>
      <c r="U163" s="289"/>
      <c r="V163" s="300" t="s">
        <v>101</v>
      </c>
      <c r="W163" s="15" t="s">
        <v>86</v>
      </c>
      <c r="X163" s="43">
        <v>500</v>
      </c>
      <c r="Y163" s="43">
        <v>500</v>
      </c>
      <c r="Z163" s="293">
        <v>500</v>
      </c>
      <c r="AA163" s="293">
        <v>501</v>
      </c>
      <c r="AB163" s="293">
        <v>502</v>
      </c>
      <c r="AC163" s="292">
        <v>0</v>
      </c>
      <c r="AD163" s="292">
        <v>1</v>
      </c>
      <c r="AE163" s="293"/>
    </row>
    <row r="164" spans="15:31" ht="16.5" customHeight="1" x14ac:dyDescent="0.2">
      <c r="O164" s="3"/>
      <c r="P164" s="3"/>
      <c r="Q164" s="3"/>
      <c r="R164" s="3"/>
      <c r="S164" s="3"/>
      <c r="U164" s="289"/>
      <c r="V164" s="298"/>
      <c r="W164" s="15" t="s">
        <v>97</v>
      </c>
      <c r="X164" s="43">
        <v>600</v>
      </c>
      <c r="Y164" s="43">
        <v>600</v>
      </c>
      <c r="Z164" s="295"/>
      <c r="AA164" s="295"/>
      <c r="AB164" s="295"/>
      <c r="AC164" s="295"/>
      <c r="AD164" s="293"/>
      <c r="AE164" s="293"/>
    </row>
    <row r="165" spans="15:31" ht="16.5" customHeight="1" x14ac:dyDescent="0.2">
      <c r="O165" s="3"/>
      <c r="P165" s="3"/>
      <c r="Q165" s="3"/>
      <c r="R165" s="3"/>
      <c r="S165" s="3"/>
      <c r="U165" s="289"/>
      <c r="V165" s="298"/>
      <c r="W165" s="15" t="s">
        <v>98</v>
      </c>
      <c r="X165" s="43">
        <v>10300</v>
      </c>
      <c r="Y165" s="43">
        <v>5200</v>
      </c>
      <c r="Z165" s="292">
        <v>0</v>
      </c>
      <c r="AA165" s="292">
        <v>0</v>
      </c>
      <c r="AB165" s="292">
        <v>0</v>
      </c>
      <c r="AC165" s="292">
        <v>0</v>
      </c>
      <c r="AD165" s="293"/>
      <c r="AE165" s="293"/>
    </row>
    <row r="166" spans="15:31" ht="16.5" customHeight="1" x14ac:dyDescent="0.2">
      <c r="O166" s="3"/>
      <c r="P166" s="3"/>
      <c r="Q166" s="3"/>
      <c r="R166" s="3"/>
      <c r="S166" s="3"/>
      <c r="U166" s="302"/>
      <c r="V166" s="301"/>
      <c r="W166" s="15" t="s">
        <v>99</v>
      </c>
      <c r="X166" s="43">
        <f>(X163*X164^3/12)/X165</f>
        <v>873786.40776699025</v>
      </c>
      <c r="Y166" s="43">
        <f>(Y163*Y164^3/12)/Y165</f>
        <v>1730769.2307692308</v>
      </c>
      <c r="Z166" s="295"/>
      <c r="AA166" s="295"/>
      <c r="AB166" s="295"/>
      <c r="AC166" s="295"/>
      <c r="AD166" s="294"/>
      <c r="AE166" s="294"/>
    </row>
    <row r="167" spans="15:31" ht="16.5" customHeight="1" x14ac:dyDescent="0.2">
      <c r="O167" s="3"/>
      <c r="P167" s="3"/>
      <c r="Q167" s="3"/>
      <c r="R167" s="3"/>
      <c r="S167" s="3"/>
      <c r="U167" s="288" t="s">
        <v>28</v>
      </c>
      <c r="V167" s="300" t="s">
        <v>100</v>
      </c>
      <c r="W167" s="15" t="s">
        <v>86</v>
      </c>
      <c r="X167" s="43">
        <v>500</v>
      </c>
      <c r="Y167" s="43">
        <v>500</v>
      </c>
      <c r="Z167" s="292">
        <v>1000</v>
      </c>
      <c r="AA167" s="292">
        <v>1000</v>
      </c>
      <c r="AB167" s="292">
        <v>4350</v>
      </c>
      <c r="AC167" s="292">
        <f>(Z167*AA167^3/12)/AB167</f>
        <v>19157088.122605361</v>
      </c>
      <c r="AD167" s="292">
        <f>(0.7*(AC167+AC169))/(0.35*(X170+Y170))</f>
        <v>15.537909062195304</v>
      </c>
      <c r="AE167" s="292">
        <f>MIN(MIN(1,(0.7+0.05*(AD167+AD171))),MIN(1,(0.85+0.05*MIN(AD167,AD171))))</f>
        <v>0.9</v>
      </c>
    </row>
    <row r="168" spans="15:31" ht="16.5" customHeight="1" x14ac:dyDescent="0.2">
      <c r="O168" s="3"/>
      <c r="P168" s="3"/>
      <c r="Q168" s="3"/>
      <c r="R168" s="3"/>
      <c r="S168" s="3"/>
      <c r="U168" s="289"/>
      <c r="V168" s="298"/>
      <c r="W168" s="15" t="s">
        <v>97</v>
      </c>
      <c r="X168" s="43">
        <v>600</v>
      </c>
      <c r="Y168" s="43">
        <v>600</v>
      </c>
      <c r="Z168" s="295"/>
      <c r="AA168" s="295"/>
      <c r="AB168" s="295"/>
      <c r="AC168" s="295"/>
      <c r="AD168" s="293"/>
      <c r="AE168" s="293"/>
    </row>
    <row r="169" spans="15:31" ht="16.5" customHeight="1" x14ac:dyDescent="0.2">
      <c r="O169" s="3"/>
      <c r="P169" s="3"/>
      <c r="Q169" s="3"/>
      <c r="R169" s="3"/>
      <c r="S169" s="3"/>
      <c r="U169" s="289"/>
      <c r="V169" s="298"/>
      <c r="W169" s="15" t="s">
        <v>98</v>
      </c>
      <c r="X169" s="43">
        <v>5200</v>
      </c>
      <c r="Y169" s="43">
        <v>10300</v>
      </c>
      <c r="Z169" s="292">
        <f>D27</f>
        <v>300</v>
      </c>
      <c r="AA169" s="292">
        <f>E27</f>
        <v>500</v>
      </c>
      <c r="AB169" s="292">
        <f>F27</f>
        <v>2900</v>
      </c>
      <c r="AC169" s="292">
        <f>(Z169*AA169^3/12)/AB169</f>
        <v>1077586.2068965517</v>
      </c>
      <c r="AD169" s="293"/>
      <c r="AE169" s="293"/>
    </row>
    <row r="170" spans="15:31" ht="16.5" customHeight="1" x14ac:dyDescent="0.2">
      <c r="O170" s="3"/>
      <c r="P170" s="3"/>
      <c r="Q170" s="3"/>
      <c r="R170" s="3"/>
      <c r="S170" s="3"/>
      <c r="U170" s="289"/>
      <c r="V170" s="301"/>
      <c r="W170" s="15" t="s">
        <v>99</v>
      </c>
      <c r="X170" s="43">
        <f>(X167*X168^3/12)/X169</f>
        <v>1730769.2307692308</v>
      </c>
      <c r="Y170" s="43">
        <f>(Y167*Y168^3/12)/Y169</f>
        <v>873786.40776699025</v>
      </c>
      <c r="Z170" s="293"/>
      <c r="AA170" s="293"/>
      <c r="AB170" s="293"/>
      <c r="AC170" s="295"/>
      <c r="AD170" s="294"/>
      <c r="AE170" s="293"/>
    </row>
    <row r="171" spans="15:31" ht="16.5" customHeight="1" x14ac:dyDescent="0.2">
      <c r="O171" s="3"/>
      <c r="P171" s="3"/>
      <c r="Q171" s="3"/>
      <c r="R171" s="3"/>
      <c r="S171" s="3"/>
      <c r="U171" s="289"/>
      <c r="V171" s="300" t="s">
        <v>101</v>
      </c>
      <c r="W171" s="15" t="s">
        <v>86</v>
      </c>
      <c r="X171" s="43">
        <v>500</v>
      </c>
      <c r="Y171" s="43">
        <v>500</v>
      </c>
      <c r="Z171" s="293">
        <v>500</v>
      </c>
      <c r="AA171" s="293">
        <v>501</v>
      </c>
      <c r="AB171" s="293">
        <v>502</v>
      </c>
      <c r="AC171" s="292">
        <v>0</v>
      </c>
      <c r="AD171" s="292">
        <v>1</v>
      </c>
      <c r="AE171" s="293"/>
    </row>
    <row r="172" spans="15:31" ht="16.5" customHeight="1" x14ac:dyDescent="0.2">
      <c r="O172" s="3"/>
      <c r="P172" s="3"/>
      <c r="Q172" s="3"/>
      <c r="R172" s="3"/>
      <c r="S172" s="3"/>
      <c r="U172" s="289"/>
      <c r="V172" s="298"/>
      <c r="W172" s="15" t="s">
        <v>97</v>
      </c>
      <c r="X172" s="43">
        <v>600</v>
      </c>
      <c r="Y172" s="43">
        <v>600</v>
      </c>
      <c r="Z172" s="295"/>
      <c r="AA172" s="295"/>
      <c r="AB172" s="295"/>
      <c r="AC172" s="295"/>
      <c r="AD172" s="293"/>
      <c r="AE172" s="293"/>
    </row>
    <row r="173" spans="15:31" ht="16.5" customHeight="1" x14ac:dyDescent="0.2">
      <c r="O173" s="3"/>
      <c r="P173" s="3"/>
      <c r="Q173" s="3"/>
      <c r="R173" s="3"/>
      <c r="S173" s="3"/>
      <c r="U173" s="289"/>
      <c r="V173" s="298"/>
      <c r="W173" s="15" t="s">
        <v>98</v>
      </c>
      <c r="X173" s="43">
        <v>5200</v>
      </c>
      <c r="Y173" s="43">
        <v>10300</v>
      </c>
      <c r="Z173" s="292">
        <v>0</v>
      </c>
      <c r="AA173" s="292">
        <v>0</v>
      </c>
      <c r="AB173" s="292">
        <v>0</v>
      </c>
      <c r="AC173" s="292">
        <v>0</v>
      </c>
      <c r="AD173" s="293"/>
      <c r="AE173" s="293"/>
    </row>
    <row r="174" spans="15:31" ht="16.5" customHeight="1" x14ac:dyDescent="0.2">
      <c r="O174" s="3"/>
      <c r="P174" s="3"/>
      <c r="Q174" s="3"/>
      <c r="R174" s="3"/>
      <c r="S174" s="3"/>
      <c r="U174" s="302"/>
      <c r="V174" s="301"/>
      <c r="W174" s="15" t="s">
        <v>99</v>
      </c>
      <c r="X174" s="43">
        <f>(X171*X172^3/12)/X173</f>
        <v>1730769.2307692308</v>
      </c>
      <c r="Y174" s="43">
        <f>(Y171*Y172^3/12)/Y173</f>
        <v>873786.40776699025</v>
      </c>
      <c r="Z174" s="295"/>
      <c r="AA174" s="295"/>
      <c r="AB174" s="295"/>
      <c r="AC174" s="295"/>
      <c r="AD174" s="294"/>
      <c r="AE174" s="294"/>
    </row>
    <row r="175" spans="15:31" ht="16.5" customHeight="1" x14ac:dyDescent="0.2">
      <c r="O175" s="3"/>
      <c r="P175" s="3"/>
      <c r="Q175" s="3"/>
      <c r="R175" s="3"/>
      <c r="S175" s="3"/>
      <c r="U175" s="288" t="s">
        <v>116</v>
      </c>
      <c r="V175" s="300" t="s">
        <v>100</v>
      </c>
      <c r="W175" s="15" t="s">
        <v>86</v>
      </c>
      <c r="X175" s="43">
        <v>0</v>
      </c>
      <c r="Y175" s="43">
        <v>500</v>
      </c>
      <c r="Z175" s="292">
        <v>700</v>
      </c>
      <c r="AA175" s="292">
        <v>700</v>
      </c>
      <c r="AB175" s="292">
        <v>4350</v>
      </c>
      <c r="AC175" s="292">
        <f>(Z175*AA175^3/12)/AB175</f>
        <v>4599616.8582375478</v>
      </c>
      <c r="AD175" s="292">
        <f>(0.7*(AC175+AC177))/(0.35*(X178+Y178))</f>
        <v>2.7676364942528737</v>
      </c>
      <c r="AE175" s="292">
        <f>MIN(MIN(1,(0.7+0.05*(AD175+AD179))),MIN(1,(0.85+0.05*MIN(AD175,AD179))))</f>
        <v>0.8883818247126436</v>
      </c>
    </row>
    <row r="176" spans="15:31" ht="16.5" customHeight="1" x14ac:dyDescent="0.2">
      <c r="O176" s="3"/>
      <c r="P176" s="3"/>
      <c r="Q176" s="3"/>
      <c r="R176" s="3"/>
      <c r="S176" s="3"/>
      <c r="U176" s="289"/>
      <c r="V176" s="298"/>
      <c r="W176" s="15" t="s">
        <v>97</v>
      </c>
      <c r="X176" s="43">
        <v>0</v>
      </c>
      <c r="Y176" s="43">
        <v>800</v>
      </c>
      <c r="Z176" s="295"/>
      <c r="AA176" s="295"/>
      <c r="AB176" s="295"/>
      <c r="AC176" s="295"/>
      <c r="AD176" s="293"/>
      <c r="AE176" s="293"/>
    </row>
    <row r="177" spans="15:31" ht="16.5" customHeight="1" x14ac:dyDescent="0.2">
      <c r="O177" s="3"/>
      <c r="P177" s="3"/>
      <c r="Q177" s="3"/>
      <c r="R177" s="3"/>
      <c r="S177" s="3"/>
      <c r="U177" s="289"/>
      <c r="V177" s="298"/>
      <c r="W177" s="15" t="s">
        <v>98</v>
      </c>
      <c r="X177" s="43">
        <v>0</v>
      </c>
      <c r="Y177" s="43">
        <v>5200</v>
      </c>
      <c r="Z177" s="292">
        <f>D28</f>
        <v>300</v>
      </c>
      <c r="AA177" s="292">
        <f>E28</f>
        <v>500</v>
      </c>
      <c r="AB177" s="292">
        <f>F28</f>
        <v>2900</v>
      </c>
      <c r="AC177" s="292">
        <f>(Z177*AA177^3/12)/AB177</f>
        <v>1077586.2068965517</v>
      </c>
      <c r="AD177" s="293"/>
      <c r="AE177" s="293"/>
    </row>
    <row r="178" spans="15:31" ht="16.5" customHeight="1" x14ac:dyDescent="0.2">
      <c r="O178" s="3"/>
      <c r="P178" s="3"/>
      <c r="Q178" s="3"/>
      <c r="R178" s="3"/>
      <c r="S178" s="3"/>
      <c r="U178" s="289"/>
      <c r="V178" s="301"/>
      <c r="W178" s="15" t="s">
        <v>99</v>
      </c>
      <c r="X178" s="43">
        <v>0</v>
      </c>
      <c r="Y178" s="43">
        <f>(Y175*Y176^3/12)/Y177</f>
        <v>4102564.1025641025</v>
      </c>
      <c r="Z178" s="293"/>
      <c r="AA178" s="293"/>
      <c r="AB178" s="293"/>
      <c r="AC178" s="295"/>
      <c r="AD178" s="294"/>
      <c r="AE178" s="293"/>
    </row>
    <row r="179" spans="15:31" ht="16.5" customHeight="1" x14ac:dyDescent="0.2">
      <c r="O179" s="3"/>
      <c r="P179" s="3"/>
      <c r="Q179" s="3"/>
      <c r="R179" s="3"/>
      <c r="S179" s="3"/>
      <c r="U179" s="289"/>
      <c r="V179" s="300" t="s">
        <v>101</v>
      </c>
      <c r="W179" s="15" t="s">
        <v>86</v>
      </c>
      <c r="X179" s="43">
        <v>0</v>
      </c>
      <c r="Y179" s="43">
        <v>200</v>
      </c>
      <c r="Z179" s="293">
        <v>500</v>
      </c>
      <c r="AA179" s="293">
        <v>501</v>
      </c>
      <c r="AB179" s="293">
        <v>502</v>
      </c>
      <c r="AC179" s="292">
        <v>0</v>
      </c>
      <c r="AD179" s="292">
        <v>1</v>
      </c>
      <c r="AE179" s="293"/>
    </row>
    <row r="180" spans="15:31" ht="16.5" customHeight="1" x14ac:dyDescent="0.2">
      <c r="O180" s="3"/>
      <c r="P180" s="3"/>
      <c r="Q180" s="3"/>
      <c r="R180" s="3"/>
      <c r="S180" s="3"/>
      <c r="U180" s="289"/>
      <c r="V180" s="298"/>
      <c r="W180" s="15" t="s">
        <v>97</v>
      </c>
      <c r="X180" s="43">
        <v>0</v>
      </c>
      <c r="Y180" s="43">
        <v>600</v>
      </c>
      <c r="Z180" s="295"/>
      <c r="AA180" s="295"/>
      <c r="AB180" s="295"/>
      <c r="AC180" s="295"/>
      <c r="AD180" s="293"/>
      <c r="AE180" s="293"/>
    </row>
    <row r="181" spans="15:31" ht="16.5" customHeight="1" x14ac:dyDescent="0.2">
      <c r="O181" s="3"/>
      <c r="P181" s="3"/>
      <c r="Q181" s="3"/>
      <c r="R181" s="3"/>
      <c r="S181" s="3"/>
      <c r="U181" s="289"/>
      <c r="V181" s="298"/>
      <c r="W181" s="15" t="s">
        <v>98</v>
      </c>
      <c r="X181" s="43">
        <v>0</v>
      </c>
      <c r="Y181" s="43">
        <v>5200</v>
      </c>
      <c r="Z181" s="292">
        <v>0</v>
      </c>
      <c r="AA181" s="292">
        <v>0</v>
      </c>
      <c r="AB181" s="292">
        <v>0</v>
      </c>
      <c r="AC181" s="292">
        <v>0</v>
      </c>
      <c r="AD181" s="293"/>
      <c r="AE181" s="293"/>
    </row>
    <row r="182" spans="15:31" ht="16.5" customHeight="1" x14ac:dyDescent="0.2">
      <c r="O182" s="3"/>
      <c r="P182" s="3"/>
      <c r="Q182" s="3"/>
      <c r="R182" s="3"/>
      <c r="S182" s="3"/>
      <c r="U182" s="302"/>
      <c r="V182" s="301"/>
      <c r="W182" s="15" t="s">
        <v>99</v>
      </c>
      <c r="X182" s="43">
        <v>0</v>
      </c>
      <c r="Y182" s="43">
        <f>(Y179*Y180^3/12)/Y181</f>
        <v>692307.69230769225</v>
      </c>
      <c r="Z182" s="295"/>
      <c r="AA182" s="295"/>
      <c r="AB182" s="295"/>
      <c r="AC182" s="295"/>
      <c r="AD182" s="294"/>
      <c r="AE182" s="294"/>
    </row>
    <row r="183" spans="15:31" x14ac:dyDescent="0.15">
      <c r="O183" s="3"/>
      <c r="P183" s="3"/>
      <c r="Q183" s="3"/>
      <c r="R183" s="3"/>
      <c r="S183" s="3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5:31" x14ac:dyDescent="0.15">
      <c r="O184" s="3"/>
      <c r="P184" s="3"/>
      <c r="Q184" s="3"/>
      <c r="R184" s="3"/>
      <c r="S184" s="3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5:31" x14ac:dyDescent="0.15">
      <c r="O185" s="3"/>
      <c r="P185" s="3"/>
      <c r="Q185" s="3"/>
      <c r="R185" s="3"/>
      <c r="S185" s="3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5:31" x14ac:dyDescent="0.15">
      <c r="O186" s="3"/>
      <c r="P186" s="3"/>
      <c r="Q186" s="3"/>
      <c r="R186" s="3"/>
      <c r="S186" s="3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5:31" x14ac:dyDescent="0.15">
      <c r="O187" s="3"/>
      <c r="P187" s="3"/>
      <c r="Q187" s="3"/>
      <c r="R187" s="3"/>
      <c r="S187" s="3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5:31" x14ac:dyDescent="0.15">
      <c r="O188" s="3"/>
      <c r="P188" s="3"/>
      <c r="Q188" s="3"/>
      <c r="R188" s="3"/>
      <c r="S188" s="3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5:31" x14ac:dyDescent="0.15">
      <c r="O189" s="3"/>
      <c r="P189" s="3"/>
      <c r="Q189" s="3"/>
      <c r="R189" s="3"/>
      <c r="S189" s="3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5:31" x14ac:dyDescent="0.15">
      <c r="O190" s="3"/>
      <c r="P190" s="3"/>
      <c r="Q190" s="3"/>
      <c r="R190" s="3"/>
      <c r="S190" s="3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5:31" x14ac:dyDescent="0.15">
      <c r="O191" s="3"/>
      <c r="P191" s="3"/>
      <c r="Q191" s="3"/>
      <c r="R191" s="3"/>
      <c r="S191" s="3"/>
      <c r="U191"/>
      <c r="V191"/>
      <c r="W191"/>
      <c r="X191"/>
      <c r="Y191"/>
      <c r="Z191"/>
      <c r="AA191"/>
      <c r="AB191"/>
      <c r="AC191"/>
      <c r="AD191"/>
      <c r="AE191"/>
    </row>
    <row r="192" spans="15:31" x14ac:dyDescent="0.15">
      <c r="O192" s="3"/>
      <c r="P192" s="3"/>
      <c r="Q192" s="3"/>
      <c r="R192" s="3"/>
      <c r="S192" s="3"/>
      <c r="U192"/>
      <c r="V192"/>
      <c r="W192"/>
      <c r="X192"/>
      <c r="Y192"/>
      <c r="Z192"/>
      <c r="AA192"/>
      <c r="AB192"/>
      <c r="AC192"/>
      <c r="AD192"/>
      <c r="AE192"/>
    </row>
    <row r="193" spans="15:31" x14ac:dyDescent="0.15">
      <c r="O193" s="3"/>
      <c r="P193" s="3"/>
      <c r="Q193" s="3"/>
      <c r="R193" s="3"/>
      <c r="S193" s="3"/>
      <c r="U193"/>
      <c r="V193"/>
      <c r="W193"/>
      <c r="X193"/>
      <c r="Y193"/>
      <c r="Z193"/>
      <c r="AA193"/>
      <c r="AB193"/>
      <c r="AC193"/>
      <c r="AD193"/>
      <c r="AE193"/>
    </row>
    <row r="194" spans="15:31" x14ac:dyDescent="0.15">
      <c r="O194" s="3"/>
      <c r="P194" s="3"/>
      <c r="Q194" s="3"/>
      <c r="R194" s="3"/>
      <c r="S194" s="3"/>
      <c r="U194"/>
      <c r="V194"/>
      <c r="W194"/>
      <c r="X194"/>
      <c r="Y194"/>
      <c r="Z194"/>
      <c r="AA194"/>
      <c r="AB194"/>
      <c r="AC194"/>
      <c r="AD194"/>
      <c r="AE194"/>
    </row>
    <row r="195" spans="15:31" x14ac:dyDescent="0.15">
      <c r="O195" s="3"/>
      <c r="P195" s="3"/>
      <c r="Q195" s="3"/>
      <c r="R195" s="3"/>
      <c r="S195" s="3"/>
      <c r="U195"/>
      <c r="V195"/>
      <c r="W195"/>
      <c r="X195"/>
      <c r="Y195"/>
      <c r="Z195"/>
      <c r="AA195"/>
      <c r="AB195"/>
      <c r="AC195"/>
      <c r="AD195"/>
      <c r="AE195"/>
    </row>
    <row r="196" spans="15:31" x14ac:dyDescent="0.15">
      <c r="O196" s="3"/>
      <c r="P196" s="3"/>
      <c r="Q196" s="3"/>
      <c r="R196" s="3"/>
      <c r="S196" s="3"/>
      <c r="U196"/>
      <c r="V196"/>
      <c r="W196"/>
      <c r="X196"/>
      <c r="Y196"/>
      <c r="Z196"/>
      <c r="AA196"/>
      <c r="AB196"/>
      <c r="AC196"/>
      <c r="AD196"/>
      <c r="AE196"/>
    </row>
    <row r="197" spans="15:31" x14ac:dyDescent="0.15">
      <c r="O197" s="3"/>
      <c r="P197" s="3"/>
      <c r="Q197" s="3"/>
      <c r="R197" s="3"/>
      <c r="S197" s="3"/>
      <c r="U197"/>
      <c r="V197"/>
      <c r="W197"/>
      <c r="X197"/>
      <c r="Y197"/>
      <c r="Z197"/>
      <c r="AA197"/>
      <c r="AB197"/>
      <c r="AC197"/>
      <c r="AD197"/>
      <c r="AE197"/>
    </row>
    <row r="198" spans="15:31" x14ac:dyDescent="0.15">
      <c r="O198" s="3"/>
      <c r="P198" s="3"/>
      <c r="Q198" s="3"/>
      <c r="R198" s="3"/>
      <c r="S198" s="3"/>
      <c r="U198"/>
      <c r="V198"/>
      <c r="W198"/>
      <c r="X198"/>
      <c r="Y198"/>
      <c r="Z198"/>
      <c r="AA198"/>
      <c r="AB198"/>
      <c r="AC198"/>
      <c r="AD198"/>
      <c r="AE198"/>
    </row>
  </sheetData>
  <mergeCells count="537">
    <mergeCell ref="AE87:AE94"/>
    <mergeCell ref="AJ30:AK30"/>
    <mergeCell ref="AJ37:AK37"/>
    <mergeCell ref="AJ24:AK24"/>
    <mergeCell ref="AJ23:AK23"/>
    <mergeCell ref="AJ34:AK34"/>
    <mergeCell ref="AJ33:AK33"/>
    <mergeCell ref="AJ27:AK27"/>
    <mergeCell ref="AJ31:AK31"/>
    <mergeCell ref="AJ32:AK32"/>
    <mergeCell ref="AJ28:AK28"/>
    <mergeCell ref="AE47:AE54"/>
    <mergeCell ref="AJ69:AK69"/>
    <mergeCell ref="AJ94:AK94"/>
    <mergeCell ref="AJ75:AK75"/>
    <mergeCell ref="AJ74:AK74"/>
    <mergeCell ref="AJ88:AK88"/>
    <mergeCell ref="AJ91:AK91"/>
    <mergeCell ref="AJ82:AK82"/>
    <mergeCell ref="AJ70:AK70"/>
    <mergeCell ref="AJ79:AK79"/>
    <mergeCell ref="AJ71:AK71"/>
    <mergeCell ref="AJ64:AK64"/>
    <mergeCell ref="AJ48:AK48"/>
    <mergeCell ref="DI3:DP3"/>
    <mergeCell ref="AC11:AC12"/>
    <mergeCell ref="BJ1:CD2"/>
    <mergeCell ref="DU4:DW4"/>
    <mergeCell ref="AB159:AB160"/>
    <mergeCell ref="U55:U62"/>
    <mergeCell ref="AC27:AC28"/>
    <mergeCell ref="AC173:AC174"/>
    <mergeCell ref="Z173:Z174"/>
    <mergeCell ref="Z13:Z14"/>
    <mergeCell ref="Z137:Z140"/>
    <mergeCell ref="AC135:AC136"/>
    <mergeCell ref="AC147:AC148"/>
    <mergeCell ref="V87:V90"/>
    <mergeCell ref="V39:V42"/>
    <mergeCell ref="AA151:AA152"/>
    <mergeCell ref="AC119:AC120"/>
    <mergeCell ref="AA153:AA156"/>
    <mergeCell ref="AB45:AB46"/>
    <mergeCell ref="AA105:AA108"/>
    <mergeCell ref="AA121:AA124"/>
    <mergeCell ref="AA53:AA54"/>
    <mergeCell ref="AB135:AB136"/>
    <mergeCell ref="AD5:AD8"/>
    <mergeCell ref="AE175:AE182"/>
    <mergeCell ref="AB85:AB86"/>
    <mergeCell ref="AC67:AC68"/>
    <mergeCell ref="AB177:AB180"/>
    <mergeCell ref="AD163:AD166"/>
    <mergeCell ref="AD179:AD182"/>
    <mergeCell ref="AC177:AC178"/>
    <mergeCell ref="AA145:AA148"/>
    <mergeCell ref="AC31:AC32"/>
    <mergeCell ref="AC123:AC124"/>
    <mergeCell ref="AA143:AA144"/>
    <mergeCell ref="AA125:AA126"/>
    <mergeCell ref="AA141:AA142"/>
    <mergeCell ref="AC157:AC158"/>
    <mergeCell ref="AC159:AC160"/>
    <mergeCell ref="AD159:AD162"/>
    <mergeCell ref="AE119:AE126"/>
    <mergeCell ref="AA57:AA60"/>
    <mergeCell ref="AD119:AD122"/>
    <mergeCell ref="AB119:AB120"/>
    <mergeCell ref="AD143:AD146"/>
    <mergeCell ref="AD167:AD170"/>
    <mergeCell ref="AC175:AC176"/>
    <mergeCell ref="AB175:AB176"/>
    <mergeCell ref="AE5:AE12"/>
    <mergeCell ref="AE3:AE4"/>
    <mergeCell ref="AC81:AC82"/>
    <mergeCell ref="AB47:AB48"/>
    <mergeCell ref="AD111:AD114"/>
    <mergeCell ref="AE28:AE34"/>
    <mergeCell ref="Z57:Z60"/>
    <mergeCell ref="AE111:AE118"/>
    <mergeCell ref="AC99:AC100"/>
    <mergeCell ref="AC111:AC112"/>
    <mergeCell ref="AD95:AD98"/>
    <mergeCell ref="Z87:Z88"/>
    <mergeCell ref="AA93:AA94"/>
    <mergeCell ref="AB69:AB70"/>
    <mergeCell ref="AB81:AB84"/>
    <mergeCell ref="AA97:AA100"/>
    <mergeCell ref="AB89:AB92"/>
    <mergeCell ref="AC35:AC36"/>
    <mergeCell ref="AB55:AB56"/>
    <mergeCell ref="AD25:AD27"/>
    <mergeCell ref="AA87:AA88"/>
    <mergeCell ref="AE55:AE62"/>
    <mergeCell ref="AE95:AE102"/>
    <mergeCell ref="AA109:AA110"/>
    <mergeCell ref="AA19:AA20"/>
    <mergeCell ref="AD31:AD34"/>
    <mergeCell ref="AD75:AD78"/>
    <mergeCell ref="AB141:AB142"/>
    <mergeCell ref="AC115:AC116"/>
    <mergeCell ref="AB121:AB124"/>
    <mergeCell ref="AD67:AD70"/>
    <mergeCell ref="AC161:AC162"/>
    <mergeCell ref="AA21:AA22"/>
    <mergeCell ref="AD21:AD24"/>
    <mergeCell ref="AD115:AD118"/>
    <mergeCell ref="AA85:AA86"/>
    <mergeCell ref="AA135:AA136"/>
    <mergeCell ref="AB33:AB34"/>
    <mergeCell ref="AA29:AA32"/>
    <mergeCell ref="AC43:AC44"/>
    <mergeCell ref="AC63:AC64"/>
    <mergeCell ref="V3:V4"/>
    <mergeCell ref="AC77:AC78"/>
    <mergeCell ref="Z103:Z104"/>
    <mergeCell ref="AB71:AB72"/>
    <mergeCell ref="W3:Y3"/>
    <mergeCell ref="AC71:AC72"/>
    <mergeCell ref="AA13:AA14"/>
    <mergeCell ref="AA5:AA6"/>
    <mergeCell ref="AB5:AB6"/>
    <mergeCell ref="AC25:AC26"/>
    <mergeCell ref="Z33:Z34"/>
    <mergeCell ref="AC65:AC66"/>
    <mergeCell ref="AC101:AC102"/>
    <mergeCell ref="AC33:AC34"/>
    <mergeCell ref="AC87:AC88"/>
    <mergeCell ref="AC89:AC90"/>
    <mergeCell ref="Z97:Z100"/>
    <mergeCell ref="Z95:Z96"/>
    <mergeCell ref="Z27:Z28"/>
    <mergeCell ref="Z3:AC3"/>
    <mergeCell ref="V79:V82"/>
    <mergeCell ref="V5:V8"/>
    <mergeCell ref="V67:V70"/>
    <mergeCell ref="Z21:Z22"/>
    <mergeCell ref="Z5:Z6"/>
    <mergeCell ref="AD91:AD94"/>
    <mergeCell ref="Z119:Z120"/>
    <mergeCell ref="AB79:AB80"/>
    <mergeCell ref="U103:U110"/>
    <mergeCell ref="AD55:AD58"/>
    <mergeCell ref="AA63:AA64"/>
    <mergeCell ref="AC85:AC86"/>
    <mergeCell ref="AA47:AA48"/>
    <mergeCell ref="AA39:AA40"/>
    <mergeCell ref="AD99:AD102"/>
    <mergeCell ref="AA55:AA56"/>
    <mergeCell ref="Z15:Z18"/>
    <mergeCell ref="AB77:AB78"/>
    <mergeCell ref="V59:V62"/>
    <mergeCell ref="U111:U118"/>
    <mergeCell ref="V21:V24"/>
    <mergeCell ref="Z113:Z116"/>
    <mergeCell ref="Z63:Z64"/>
    <mergeCell ref="AA7:AA10"/>
    <mergeCell ref="AB13:AB14"/>
    <mergeCell ref="AC21:AC22"/>
    <mergeCell ref="AC17:AC18"/>
    <mergeCell ref="AC97:AC98"/>
    <mergeCell ref="AJ11:AK11"/>
    <mergeCell ref="AJ36:AK36"/>
    <mergeCell ref="CZ1:DP2"/>
    <mergeCell ref="AJ62:AK62"/>
    <mergeCell ref="AA133:AA134"/>
    <mergeCell ref="AC149:AC150"/>
    <mergeCell ref="V99:V102"/>
    <mergeCell ref="AA181:AA182"/>
    <mergeCell ref="AD87:AD90"/>
    <mergeCell ref="AC75:AC76"/>
    <mergeCell ref="AJ85:AK85"/>
    <mergeCell ref="AJ19:AK19"/>
    <mergeCell ref="AJ72:AK72"/>
    <mergeCell ref="AJ38:AK38"/>
    <mergeCell ref="AB7:AB10"/>
    <mergeCell ref="V123:V126"/>
    <mergeCell ref="AD103:AD106"/>
    <mergeCell ref="AD9:AD12"/>
    <mergeCell ref="AB11:AB12"/>
    <mergeCell ref="V119:V122"/>
    <mergeCell ref="AA77:AA78"/>
    <mergeCell ref="AD155:AD158"/>
    <mergeCell ref="AC171:AC172"/>
    <mergeCell ref="V111:V114"/>
    <mergeCell ref="AJ10:AK10"/>
    <mergeCell ref="AJ8:AK8"/>
    <mergeCell ref="AA129:AA132"/>
    <mergeCell ref="AB133:AB134"/>
    <mergeCell ref="AC59:AC60"/>
    <mergeCell ref="AA127:AA128"/>
    <mergeCell ref="AC117:AC118"/>
    <mergeCell ref="AD83:AD86"/>
    <mergeCell ref="AJ16:AK16"/>
    <mergeCell ref="AJ81:AK81"/>
    <mergeCell ref="AB63:AB64"/>
    <mergeCell ref="AA101:AA102"/>
    <mergeCell ref="AC103:AC104"/>
    <mergeCell ref="AA89:AA92"/>
    <mergeCell ref="AB101:AB102"/>
    <mergeCell ref="AJ14:AK14"/>
    <mergeCell ref="AJ43:AK43"/>
    <mergeCell ref="AJ46:AK46"/>
    <mergeCell ref="AJ47:AK47"/>
    <mergeCell ref="AJ45:AK45"/>
    <mergeCell ref="AJ12:AK12"/>
    <mergeCell ref="AJ17:AK17"/>
    <mergeCell ref="AJ26:AK26"/>
    <mergeCell ref="AJ44:AK44"/>
    <mergeCell ref="CG1:CX2"/>
    <mergeCell ref="CZ3:DG3"/>
    <mergeCell ref="AB161:AB164"/>
    <mergeCell ref="AB65:AB68"/>
    <mergeCell ref="AC131:AC132"/>
    <mergeCell ref="AB29:AB32"/>
    <mergeCell ref="AB129:AB132"/>
    <mergeCell ref="AE13:AE20"/>
    <mergeCell ref="AB73:AB76"/>
    <mergeCell ref="AD63:AD66"/>
    <mergeCell ref="AB143:AB144"/>
    <mergeCell ref="AB137:AB140"/>
    <mergeCell ref="AE127:AE134"/>
    <mergeCell ref="AE135:AE142"/>
    <mergeCell ref="AC79:AC80"/>
    <mergeCell ref="U2:AE2"/>
    <mergeCell ref="U119:U126"/>
    <mergeCell ref="AA111:AA112"/>
    <mergeCell ref="AC61:AC62"/>
    <mergeCell ref="AD131:AD134"/>
    <mergeCell ref="AC151:AC152"/>
    <mergeCell ref="AA95:AA96"/>
    <mergeCell ref="AA49:AA52"/>
    <mergeCell ref="AD123:AD126"/>
    <mergeCell ref="V9:V12"/>
    <mergeCell ref="AD107:AD110"/>
    <mergeCell ref="AD175:AD178"/>
    <mergeCell ref="AD39:AD42"/>
    <mergeCell ref="AE103:AE110"/>
    <mergeCell ref="AC105:AC106"/>
    <mergeCell ref="AE79:AE86"/>
    <mergeCell ref="AD51:AD54"/>
    <mergeCell ref="Z37:Z38"/>
    <mergeCell ref="AD127:AD130"/>
    <mergeCell ref="AC121:AC122"/>
    <mergeCell ref="Z77:Z78"/>
    <mergeCell ref="AC9:AC10"/>
    <mergeCell ref="AD139:AD142"/>
    <mergeCell ref="AA71:AA72"/>
    <mergeCell ref="V159:V162"/>
    <mergeCell ref="V13:V16"/>
    <mergeCell ref="V167:V170"/>
    <mergeCell ref="V31:V34"/>
    <mergeCell ref="Z151:Z152"/>
    <mergeCell ref="V103:V106"/>
    <mergeCell ref="V139:V142"/>
    <mergeCell ref="V91:V94"/>
    <mergeCell ref="Z19:Z20"/>
    <mergeCell ref="V155:V158"/>
    <mergeCell ref="Z117:Z118"/>
    <mergeCell ref="Z49:Z52"/>
    <mergeCell ref="Z169:Z172"/>
    <mergeCell ref="Z23:Z26"/>
    <mergeCell ref="Z159:Z160"/>
    <mergeCell ref="V171:V174"/>
    <mergeCell ref="V143:V146"/>
    <mergeCell ref="Z153:Z156"/>
    <mergeCell ref="Z135:Z136"/>
    <mergeCell ref="V135:V138"/>
    <mergeCell ref="Z143:Z144"/>
    <mergeCell ref="Z133:Z134"/>
    <mergeCell ref="Z121:Z124"/>
    <mergeCell ref="Z55:Z56"/>
    <mergeCell ref="Z29:Z32"/>
    <mergeCell ref="V47:V50"/>
    <mergeCell ref="V51:V54"/>
    <mergeCell ref="Z45:Z46"/>
    <mergeCell ref="Z165:Z166"/>
    <mergeCell ref="Z93:Z94"/>
    <mergeCell ref="CQ3:CX3"/>
    <mergeCell ref="AB111:AB112"/>
    <mergeCell ref="Z47:Z48"/>
    <mergeCell ref="AC15:AC16"/>
    <mergeCell ref="CG3:CO3"/>
    <mergeCell ref="U3:U4"/>
    <mergeCell ref="BY3:BY4"/>
    <mergeCell ref="CD3:CD4"/>
    <mergeCell ref="AD3:AD4"/>
    <mergeCell ref="AB15:AB18"/>
    <mergeCell ref="AC5:AC6"/>
    <mergeCell ref="U95:U102"/>
    <mergeCell ref="AB21:AB22"/>
    <mergeCell ref="AD79:AD82"/>
    <mergeCell ref="AC23:AC24"/>
    <mergeCell ref="Z105:Z108"/>
    <mergeCell ref="AA15:AA18"/>
    <mergeCell ref="AC7:AC8"/>
    <mergeCell ref="Z7:Z10"/>
    <mergeCell ref="AA11:AA12"/>
    <mergeCell ref="U5:U12"/>
    <mergeCell ref="AD17:AD20"/>
    <mergeCell ref="AD13:AD16"/>
    <mergeCell ref="Z11:Z12"/>
    <mergeCell ref="U175:U182"/>
    <mergeCell ref="Z149:Z150"/>
    <mergeCell ref="U63:U70"/>
    <mergeCell ref="AC91:AC92"/>
    <mergeCell ref="AB165:AB166"/>
    <mergeCell ref="AC47:AC48"/>
    <mergeCell ref="AC181:AC182"/>
    <mergeCell ref="AA149:AA150"/>
    <mergeCell ref="AB157:AB158"/>
    <mergeCell ref="AB153:AB156"/>
    <mergeCell ref="AB149:AB150"/>
    <mergeCell ref="V163:V166"/>
    <mergeCell ref="AC51:AC52"/>
    <mergeCell ref="V115:V118"/>
    <mergeCell ref="Z177:Z180"/>
    <mergeCell ref="AB125:AB126"/>
    <mergeCell ref="Z61:Z62"/>
    <mergeCell ref="AB49:AB52"/>
    <mergeCell ref="V151:V154"/>
    <mergeCell ref="AB105:AB108"/>
    <mergeCell ref="AB167:AB168"/>
    <mergeCell ref="AA113:AA116"/>
    <mergeCell ref="AC141:AC142"/>
    <mergeCell ref="AC129:AC130"/>
    <mergeCell ref="AJ13:AK13"/>
    <mergeCell ref="BX3:BX4"/>
    <mergeCell ref="U167:U174"/>
    <mergeCell ref="Z109:Z110"/>
    <mergeCell ref="AB169:AB172"/>
    <mergeCell ref="V131:V134"/>
    <mergeCell ref="V127:V130"/>
    <mergeCell ref="U35:U38"/>
    <mergeCell ref="Z39:Z40"/>
    <mergeCell ref="AA165:AA166"/>
    <mergeCell ref="AB57:AB60"/>
    <mergeCell ref="AC37:AC38"/>
    <mergeCell ref="Z35:Z36"/>
    <mergeCell ref="AB19:AB20"/>
    <mergeCell ref="AC133:AC134"/>
    <mergeCell ref="Z73:Z76"/>
    <mergeCell ref="AA61:AA62"/>
    <mergeCell ref="AC169:AC170"/>
    <mergeCell ref="AC167:AC168"/>
    <mergeCell ref="AD47:AD50"/>
    <mergeCell ref="Z157:Z158"/>
    <mergeCell ref="AC45:AC46"/>
    <mergeCell ref="AA119:AA120"/>
    <mergeCell ref="U28:U34"/>
    <mergeCell ref="AC163:AC164"/>
    <mergeCell ref="AE35:AE38"/>
    <mergeCell ref="AE71:AE78"/>
    <mergeCell ref="AE159:AE166"/>
    <mergeCell ref="Z141:Z142"/>
    <mergeCell ref="AC165:AC166"/>
    <mergeCell ref="V147:V150"/>
    <mergeCell ref="AC55:AC56"/>
    <mergeCell ref="AE151:AE158"/>
    <mergeCell ref="Z101:Z102"/>
    <mergeCell ref="AE63:AE70"/>
    <mergeCell ref="AE39:AE46"/>
    <mergeCell ref="AB127:AB128"/>
    <mergeCell ref="AC155:AC156"/>
    <mergeCell ref="AE143:AE150"/>
    <mergeCell ref="AC113:AC114"/>
    <mergeCell ref="AA117:AA118"/>
    <mergeCell ref="AD151:AD154"/>
    <mergeCell ref="AB113:AB116"/>
    <mergeCell ref="Z125:Z126"/>
    <mergeCell ref="AD43:AD46"/>
    <mergeCell ref="AD59:AD62"/>
    <mergeCell ref="Z65:Z68"/>
    <mergeCell ref="AC57:AC58"/>
    <mergeCell ref="Z181:Z182"/>
    <mergeCell ref="AC83:AC84"/>
    <mergeCell ref="Z79:Z80"/>
    <mergeCell ref="AC107:AC108"/>
    <mergeCell ref="V83:V86"/>
    <mergeCell ref="AA177:AA180"/>
    <mergeCell ref="V179:V182"/>
    <mergeCell ref="Z127:Z128"/>
    <mergeCell ref="Z161:Z164"/>
    <mergeCell ref="AA173:AA174"/>
    <mergeCell ref="V95:V98"/>
    <mergeCell ref="Z89:Z92"/>
    <mergeCell ref="AA169:AA172"/>
    <mergeCell ref="Z111:Z112"/>
    <mergeCell ref="Z85:Z86"/>
    <mergeCell ref="Z175:Z176"/>
    <mergeCell ref="AA175:AA176"/>
    <mergeCell ref="AB173:AB174"/>
    <mergeCell ref="AB117:AB118"/>
    <mergeCell ref="AC143:AC144"/>
    <mergeCell ref="AC139:AC140"/>
    <mergeCell ref="AC179:AC180"/>
    <mergeCell ref="AB181:AB182"/>
    <mergeCell ref="AC125:AC126"/>
    <mergeCell ref="AJ97:AK97"/>
    <mergeCell ref="AJ93:AK93"/>
    <mergeCell ref="AJ96:AK96"/>
    <mergeCell ref="AJ92:AK92"/>
    <mergeCell ref="AJ89:AK89"/>
    <mergeCell ref="AJ86:AK86"/>
    <mergeCell ref="AJ84:AK84"/>
    <mergeCell ref="AJ98:AK98"/>
    <mergeCell ref="AJ95:AK95"/>
    <mergeCell ref="AJ90:AK90"/>
    <mergeCell ref="AJ6:AK6"/>
    <mergeCell ref="AJ5:AK5"/>
    <mergeCell ref="AJ87:AK87"/>
    <mergeCell ref="AJ61:AK61"/>
    <mergeCell ref="AJ80:AK80"/>
    <mergeCell ref="AJ78:AK78"/>
    <mergeCell ref="AJ63:AK63"/>
    <mergeCell ref="AJ7:AK7"/>
    <mergeCell ref="AJ18:AK18"/>
    <mergeCell ref="AJ41:AK41"/>
    <mergeCell ref="AJ40:AK40"/>
    <mergeCell ref="AJ55:AK55"/>
    <mergeCell ref="AJ9:AK9"/>
    <mergeCell ref="AJ66:AK66"/>
    <mergeCell ref="AJ83:AK83"/>
    <mergeCell ref="AJ77:AK77"/>
    <mergeCell ref="AJ76:AK76"/>
    <mergeCell ref="AJ73:AK73"/>
    <mergeCell ref="AJ15:AK15"/>
    <mergeCell ref="AJ68:AK68"/>
    <mergeCell ref="AJ42:AK42"/>
    <mergeCell ref="AJ57:AK57"/>
    <mergeCell ref="AJ39:AK39"/>
    <mergeCell ref="AJ60:AK60"/>
    <mergeCell ref="AJ59:AK59"/>
    <mergeCell ref="AJ52:AK52"/>
    <mergeCell ref="AJ49:AK49"/>
    <mergeCell ref="AJ58:AK58"/>
    <mergeCell ref="AJ54:AK54"/>
    <mergeCell ref="AJ50:AK50"/>
    <mergeCell ref="AJ53:AK53"/>
    <mergeCell ref="AJ51:AK51"/>
    <mergeCell ref="AJ65:AK65"/>
    <mergeCell ref="AJ20:AK20"/>
    <mergeCell ref="AJ35:AK35"/>
    <mergeCell ref="AJ67:AK67"/>
    <mergeCell ref="AJ21:AK21"/>
    <mergeCell ref="AJ22:AK22"/>
    <mergeCell ref="AJ29:AK29"/>
    <mergeCell ref="AJ25:AK25"/>
    <mergeCell ref="AE167:AE174"/>
    <mergeCell ref="V71:V74"/>
    <mergeCell ref="AC29:AC30"/>
    <mergeCell ref="V25:V27"/>
    <mergeCell ref="AA65:AA68"/>
    <mergeCell ref="Z53:Z54"/>
    <mergeCell ref="AB37:AB38"/>
    <mergeCell ref="AC153:AC154"/>
    <mergeCell ref="AA79:AA80"/>
    <mergeCell ref="AB39:AB40"/>
    <mergeCell ref="AA137:AA140"/>
    <mergeCell ref="AB95:AB96"/>
    <mergeCell ref="AB151:AB152"/>
    <mergeCell ref="AE21:AE27"/>
    <mergeCell ref="AB41:AB44"/>
    <mergeCell ref="AA157:AA158"/>
    <mergeCell ref="Z71:Z72"/>
    <mergeCell ref="V175:V178"/>
    <mergeCell ref="U159:U166"/>
    <mergeCell ref="V107:V110"/>
    <mergeCell ref="Z167:Z168"/>
    <mergeCell ref="AC95:AC96"/>
    <mergeCell ref="AA73:AA76"/>
    <mergeCell ref="AA41:AA44"/>
    <mergeCell ref="AC109:AC110"/>
    <mergeCell ref="AA23:AA26"/>
    <mergeCell ref="AC69:AC70"/>
    <mergeCell ref="AA167:AA168"/>
    <mergeCell ref="Z129:Z132"/>
    <mergeCell ref="AC73:AC74"/>
    <mergeCell ref="AA159:AA160"/>
    <mergeCell ref="AC127:AC128"/>
    <mergeCell ref="AB61:AB62"/>
    <mergeCell ref="V28:V30"/>
    <mergeCell ref="U143:U150"/>
    <mergeCell ref="AA161:AA164"/>
    <mergeCell ref="U135:U142"/>
    <mergeCell ref="U151:U158"/>
    <mergeCell ref="U79:U86"/>
    <mergeCell ref="U39:U46"/>
    <mergeCell ref="U87:U94"/>
    <mergeCell ref="AD171:AD174"/>
    <mergeCell ref="AB97:AB100"/>
    <mergeCell ref="AC49:AC50"/>
    <mergeCell ref="AB53:AB54"/>
    <mergeCell ref="Z145:Z148"/>
    <mergeCell ref="AC41:AC42"/>
    <mergeCell ref="AA33:AA34"/>
    <mergeCell ref="AC93:AC94"/>
    <mergeCell ref="AA69:AA70"/>
    <mergeCell ref="AB145:AB148"/>
    <mergeCell ref="AD71:AD74"/>
    <mergeCell ref="AD35:AD38"/>
    <mergeCell ref="AC53:AC54"/>
    <mergeCell ref="AA45:AA46"/>
    <mergeCell ref="AA37:AA38"/>
    <mergeCell ref="AA35:AA36"/>
    <mergeCell ref="Z41:Z44"/>
    <mergeCell ref="AB35:AB36"/>
    <mergeCell ref="Z81:Z84"/>
    <mergeCell ref="AD147:AD150"/>
    <mergeCell ref="AC145:AC146"/>
    <mergeCell ref="AC137:AC138"/>
    <mergeCell ref="AA81:AA84"/>
    <mergeCell ref="AB93:AB94"/>
    <mergeCell ref="U13:U20"/>
    <mergeCell ref="AD135:AD138"/>
    <mergeCell ref="AB87:AB88"/>
    <mergeCell ref="AC39:AC40"/>
    <mergeCell ref="AB103:AB104"/>
    <mergeCell ref="AC13:AC14"/>
    <mergeCell ref="V17:V20"/>
    <mergeCell ref="AA27:AA28"/>
    <mergeCell ref="AC19:AC20"/>
    <mergeCell ref="AB23:AB26"/>
    <mergeCell ref="Z69:Z70"/>
    <mergeCell ref="V43:V46"/>
    <mergeCell ref="V35:V38"/>
    <mergeCell ref="V63:V66"/>
    <mergeCell ref="U127:U134"/>
    <mergeCell ref="U21:U27"/>
    <mergeCell ref="AD28:AD30"/>
    <mergeCell ref="U71:U78"/>
    <mergeCell ref="V75:V78"/>
    <mergeCell ref="V55:V58"/>
    <mergeCell ref="AB27:AB28"/>
    <mergeCell ref="U47:U54"/>
    <mergeCell ref="AB109:AB110"/>
    <mergeCell ref="AA103:AA104"/>
  </mergeCells>
  <conditionalFormatting sqref="CD5:CD98">
    <cfRule type="cellIs" priority="1" operator="equal">
      <formula>"Unsafe"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workbookViewId="0">
      <selection activeCell="I58" sqref="I58:R58"/>
    </sheetView>
  </sheetViews>
  <sheetFormatPr defaultColWidth="8.94921875" defaultRowHeight="13.5" x14ac:dyDescent="0.15"/>
  <cols>
    <col min="2" max="2" width="10.05078125" customWidth="1"/>
    <col min="3" max="3" width="11.03125" customWidth="1"/>
    <col min="4" max="4" width="10.91015625" customWidth="1"/>
    <col min="5" max="5" width="10.05078125" customWidth="1"/>
    <col min="8" max="8" width="16.3046875" customWidth="1"/>
    <col min="9" max="14" width="10.05078125" customWidth="1"/>
    <col min="15" max="18" width="10.05078125" style="200" customWidth="1"/>
    <col min="19" max="254" width="10.05078125" customWidth="1"/>
  </cols>
  <sheetData>
    <row r="1" spans="1:18" ht="18.75" thickBot="1" x14ac:dyDescent="0.25">
      <c r="B1" s="341" t="s">
        <v>146</v>
      </c>
      <c r="C1" s="341" t="s">
        <v>137</v>
      </c>
      <c r="D1" s="341"/>
      <c r="E1" s="341" t="s">
        <v>138</v>
      </c>
      <c r="F1" s="89"/>
      <c r="G1" s="89"/>
      <c r="H1" s="343" t="s">
        <v>139</v>
      </c>
    </row>
    <row r="2" spans="1:18" ht="18.75" customHeight="1" thickTop="1" thickBot="1" x14ac:dyDescent="0.2">
      <c r="B2" s="341"/>
      <c r="C2" s="187" t="s">
        <v>140</v>
      </c>
      <c r="D2" s="90" t="s">
        <v>141</v>
      </c>
      <c r="E2" s="342"/>
      <c r="F2" s="91"/>
      <c r="G2" s="91"/>
      <c r="H2" s="342"/>
      <c r="I2" s="186" t="s">
        <v>217</v>
      </c>
      <c r="J2" s="189" t="s">
        <v>211</v>
      </c>
      <c r="K2" s="186" t="s">
        <v>208</v>
      </c>
      <c r="L2" s="186" t="s">
        <v>209</v>
      </c>
      <c r="M2" s="188" t="s">
        <v>210</v>
      </c>
      <c r="N2" s="188" t="s">
        <v>212</v>
      </c>
      <c r="O2" s="201" t="s">
        <v>213</v>
      </c>
      <c r="R2" s="201" t="s">
        <v>214</v>
      </c>
    </row>
    <row r="3" spans="1:18" s="169" customFormat="1" ht="17.25" thickTop="1" thickBot="1" x14ac:dyDescent="0.3">
      <c r="A3" s="158" t="str">
        <f>'GROUND&amp;1st'!A5</f>
        <v>MIDAH</v>
      </c>
      <c r="B3" s="182" t="str">
        <f>'GROUND&amp;1st'!B5</f>
        <v>C2</v>
      </c>
      <c r="C3" s="158">
        <f>'GROUND&amp;1st'!D5</f>
        <v>300</v>
      </c>
      <c r="D3" s="158">
        <f>'GROUND&amp;1st'!E5</f>
        <v>500</v>
      </c>
      <c r="E3" s="164">
        <f>'GROUND&amp;1st'!AZ5</f>
        <v>10</v>
      </c>
      <c r="F3" s="165" t="str">
        <f>'GROUND&amp;1st'!BA5</f>
        <v>φ</v>
      </c>
      <c r="G3" s="166">
        <f>'GROUND&amp;1st'!BB5</f>
        <v>14</v>
      </c>
      <c r="H3" s="167" t="str">
        <f>'GROUND&amp;1st'!BI5</f>
        <v>Use Φ10@110mm</v>
      </c>
      <c r="I3" s="184" t="s">
        <v>218</v>
      </c>
      <c r="J3" s="184" t="s">
        <v>207</v>
      </c>
      <c r="K3" s="169" t="str">
        <f>B3&amp;B4&amp;B5&amp;B14&amp;B15&amp;B16&amp;B17&amp;B18</f>
        <v>C2C3C7C17C4C5C6C10</v>
      </c>
      <c r="L3" s="169">
        <f>C3</f>
        <v>300</v>
      </c>
      <c r="M3" s="169">
        <f>D3</f>
        <v>500</v>
      </c>
      <c r="N3" s="169">
        <v>2</v>
      </c>
      <c r="O3" s="185">
        <f>E3</f>
        <v>10</v>
      </c>
      <c r="P3" s="185" t="str">
        <f t="shared" ref="P3:R3" si="0">F3</f>
        <v>φ</v>
      </c>
      <c r="Q3" s="185">
        <f t="shared" si="0"/>
        <v>14</v>
      </c>
      <c r="R3" s="185" t="str">
        <f t="shared" si="0"/>
        <v>Use Φ10@110mm</v>
      </c>
    </row>
    <row r="4" spans="1:18" s="169" customFormat="1" ht="17.25" thickTop="1" thickBot="1" x14ac:dyDescent="0.3">
      <c r="A4" s="158" t="str">
        <f>'GROUND&amp;1st'!A6</f>
        <v>MIDAH</v>
      </c>
      <c r="B4" s="182" t="str">
        <f>'GROUND&amp;1st'!B6</f>
        <v>C3</v>
      </c>
      <c r="C4" s="158">
        <f>'GROUND&amp;1st'!D6</f>
        <v>300</v>
      </c>
      <c r="D4" s="158">
        <f>'GROUND&amp;1st'!E6</f>
        <v>500</v>
      </c>
      <c r="E4" s="164">
        <f>'GROUND&amp;1st'!AZ6</f>
        <v>10</v>
      </c>
      <c r="F4" s="165" t="str">
        <f>'GROUND&amp;1st'!BA6</f>
        <v>φ</v>
      </c>
      <c r="G4" s="166">
        <f>'GROUND&amp;1st'!BB6</f>
        <v>14</v>
      </c>
      <c r="H4" s="167" t="str">
        <f>'GROUND&amp;1st'!BI6</f>
        <v>Use Φ10@110mm</v>
      </c>
      <c r="J4" s="184"/>
      <c r="O4" s="185"/>
      <c r="P4" s="185"/>
      <c r="Q4" s="185"/>
      <c r="R4" s="185"/>
    </row>
    <row r="5" spans="1:18" s="169" customFormat="1" ht="17.25" thickTop="1" thickBot="1" x14ac:dyDescent="0.3">
      <c r="A5" s="158" t="str">
        <f>'GROUND&amp;1st'!A7</f>
        <v>MIDAH</v>
      </c>
      <c r="B5" s="182" t="str">
        <f>'GROUND&amp;1st'!B7</f>
        <v>C7</v>
      </c>
      <c r="C5" s="158">
        <f>'GROUND&amp;1st'!D7</f>
        <v>300</v>
      </c>
      <c r="D5" s="158">
        <f>'GROUND&amp;1st'!E7</f>
        <v>500</v>
      </c>
      <c r="E5" s="164">
        <f>'GROUND&amp;1st'!AZ7</f>
        <v>10</v>
      </c>
      <c r="F5" s="165" t="str">
        <f>'GROUND&amp;1st'!BA7</f>
        <v>φ</v>
      </c>
      <c r="G5" s="166">
        <f>'GROUND&amp;1st'!BB7</f>
        <v>14</v>
      </c>
      <c r="H5" s="167" t="str">
        <f>'GROUND&amp;1st'!BI7</f>
        <v>Use Φ10@110mm</v>
      </c>
      <c r="O5" s="185"/>
      <c r="P5" s="185"/>
      <c r="Q5" s="185"/>
      <c r="R5" s="185"/>
    </row>
    <row r="6" spans="1:18" s="197" customFormat="1" ht="17.25" thickTop="1" thickBot="1" x14ac:dyDescent="0.3">
      <c r="A6" s="191" t="str">
        <f>'GROUND&amp;1st'!A8</f>
        <v>MIDAH</v>
      </c>
      <c r="B6" s="192" t="str">
        <f>'GROUND&amp;1st'!B8</f>
        <v>C8</v>
      </c>
      <c r="C6" s="191">
        <f>'GROUND&amp;1st'!D8</f>
        <v>200</v>
      </c>
      <c r="D6" s="191">
        <f>'GROUND&amp;1st'!E8</f>
        <v>500</v>
      </c>
      <c r="E6" s="193">
        <f>'GROUND&amp;1st'!AZ8</f>
        <v>8</v>
      </c>
      <c r="F6" s="194" t="str">
        <f>'GROUND&amp;1st'!BA8</f>
        <v>φ</v>
      </c>
      <c r="G6" s="195">
        <f>'GROUND&amp;1st'!BB8</f>
        <v>14</v>
      </c>
      <c r="H6" s="196" t="str">
        <f>'GROUND&amp;1st'!BI8</f>
        <v>Use Φ10@100mm</v>
      </c>
      <c r="J6" s="198" t="s">
        <v>215</v>
      </c>
      <c r="K6" s="197" t="str">
        <f>B6&amp;B8&amp;B9&amp;B10&amp;B11&amp;B12&amp;B13</f>
        <v>C8C11C12C13C14C15C16</v>
      </c>
      <c r="L6" s="197">
        <f>C6</f>
        <v>200</v>
      </c>
      <c r="M6" s="197">
        <f>D7</f>
        <v>600</v>
      </c>
      <c r="N6" s="197">
        <v>2</v>
      </c>
      <c r="O6" s="202">
        <f>E6</f>
        <v>8</v>
      </c>
      <c r="P6" s="202" t="str">
        <f t="shared" ref="P6:R6" si="1">F6</f>
        <v>φ</v>
      </c>
      <c r="Q6" s="202">
        <f t="shared" si="1"/>
        <v>14</v>
      </c>
      <c r="R6" s="202" t="str">
        <f t="shared" si="1"/>
        <v>Use Φ10@100mm</v>
      </c>
    </row>
    <row r="7" spans="1:18" s="135" customFormat="1" ht="17.25" thickTop="1" thickBot="1" x14ac:dyDescent="0.3">
      <c r="A7" s="130" t="str">
        <f>'GROUND&amp;1st'!A9</f>
        <v>MIDAH</v>
      </c>
      <c r="B7" s="190" t="str">
        <f>'GROUND&amp;1st'!B9</f>
        <v>C9</v>
      </c>
      <c r="C7" s="130">
        <f>'GROUND&amp;1st'!D9</f>
        <v>300</v>
      </c>
      <c r="D7" s="130">
        <f>'GROUND&amp;1st'!E9</f>
        <v>600</v>
      </c>
      <c r="E7" s="131">
        <f>'GROUND&amp;1st'!AZ9</f>
        <v>12</v>
      </c>
      <c r="F7" s="132" t="str">
        <f>'GROUND&amp;1st'!BA9</f>
        <v>φ</v>
      </c>
      <c r="G7" s="133">
        <f>'GROUND&amp;1st'!BB9</f>
        <v>14</v>
      </c>
      <c r="H7" s="134" t="str">
        <f>'GROUND&amp;1st'!BI9</f>
        <v>Use Φ10@110mm</v>
      </c>
      <c r="O7" s="214"/>
      <c r="P7" s="214"/>
      <c r="Q7" s="214"/>
      <c r="R7" s="214"/>
    </row>
    <row r="8" spans="1:18" s="197" customFormat="1" ht="17.25" thickTop="1" thickBot="1" x14ac:dyDescent="0.3">
      <c r="A8" s="191" t="str">
        <f>'GROUND&amp;1st'!A10</f>
        <v>MIDAH</v>
      </c>
      <c r="B8" s="192" t="str">
        <f>'GROUND&amp;1st'!B10</f>
        <v>C11</v>
      </c>
      <c r="C8" s="191">
        <f>'GROUND&amp;1st'!D10</f>
        <v>200</v>
      </c>
      <c r="D8" s="191">
        <f>'GROUND&amp;1st'!E10</f>
        <v>500</v>
      </c>
      <c r="E8" s="193">
        <f>'GROUND&amp;1st'!AZ10</f>
        <v>8</v>
      </c>
      <c r="F8" s="194" t="str">
        <f>'GROUND&amp;1st'!BA10</f>
        <v>φ</v>
      </c>
      <c r="G8" s="195">
        <f>'GROUND&amp;1st'!BB10</f>
        <v>14</v>
      </c>
      <c r="H8" s="199" t="str">
        <f>'GROUND&amp;1st'!BI10</f>
        <v>Use Φ10@100mm</v>
      </c>
      <c r="O8" s="202"/>
      <c r="P8" s="202"/>
      <c r="Q8" s="202"/>
      <c r="R8" s="202"/>
    </row>
    <row r="9" spans="1:18" s="197" customFormat="1" ht="17.25" thickTop="1" thickBot="1" x14ac:dyDescent="0.3">
      <c r="A9" s="191" t="str">
        <f>'GROUND&amp;1st'!A11</f>
        <v>MIDAH</v>
      </c>
      <c r="B9" s="192" t="str">
        <f>'GROUND&amp;1st'!B11</f>
        <v>C12</v>
      </c>
      <c r="C9" s="191">
        <f>'GROUND&amp;1st'!D11</f>
        <v>200</v>
      </c>
      <c r="D9" s="191">
        <f>'GROUND&amp;1st'!E11</f>
        <v>500</v>
      </c>
      <c r="E9" s="193">
        <f>'GROUND&amp;1st'!AZ11</f>
        <v>8</v>
      </c>
      <c r="F9" s="194" t="str">
        <f>'GROUND&amp;1st'!BA11</f>
        <v>φ</v>
      </c>
      <c r="G9" s="195">
        <f>'GROUND&amp;1st'!BB11</f>
        <v>14</v>
      </c>
      <c r="H9" s="196" t="str">
        <f>'GROUND&amp;1st'!BI11</f>
        <v>Use Φ10@100mm</v>
      </c>
      <c r="J9" s="198" t="s">
        <v>216</v>
      </c>
      <c r="K9" s="197" t="str">
        <f>B7&amp;B19</f>
        <v>C9C18</v>
      </c>
      <c r="L9" s="197">
        <f>C7</f>
        <v>300</v>
      </c>
      <c r="M9" s="197">
        <f>D7</f>
        <v>600</v>
      </c>
      <c r="N9" s="197">
        <v>2</v>
      </c>
      <c r="O9" s="202">
        <f>E7</f>
        <v>12</v>
      </c>
      <c r="P9" s="202" t="str">
        <f t="shared" ref="P9:R9" si="2">F7</f>
        <v>φ</v>
      </c>
      <c r="Q9" s="202">
        <f t="shared" si="2"/>
        <v>14</v>
      </c>
      <c r="R9" s="202" t="str">
        <f t="shared" si="2"/>
        <v>Use Φ10@110mm</v>
      </c>
    </row>
    <row r="10" spans="1:18" s="197" customFormat="1" ht="17.25" thickTop="1" thickBot="1" x14ac:dyDescent="0.3">
      <c r="A10" s="191" t="str">
        <f>'GROUND&amp;1st'!A12</f>
        <v>MIDAH</v>
      </c>
      <c r="B10" s="192" t="str">
        <f>'GROUND&amp;1st'!B12</f>
        <v>C13</v>
      </c>
      <c r="C10" s="191">
        <f>'GROUND&amp;1st'!D12</f>
        <v>200</v>
      </c>
      <c r="D10" s="191">
        <f>'GROUND&amp;1st'!E12</f>
        <v>500</v>
      </c>
      <c r="E10" s="193">
        <f>'GROUND&amp;1st'!AZ12</f>
        <v>8</v>
      </c>
      <c r="F10" s="194" t="str">
        <f>'GROUND&amp;1st'!BA12</f>
        <v>φ</v>
      </c>
      <c r="G10" s="195">
        <f>'GROUND&amp;1st'!BB12</f>
        <v>14</v>
      </c>
      <c r="H10" s="196" t="str">
        <f>'GROUND&amp;1st'!BI12</f>
        <v>Use Φ10@100mm</v>
      </c>
      <c r="O10" s="202"/>
      <c r="P10" s="202"/>
      <c r="Q10" s="202"/>
      <c r="R10" s="202"/>
    </row>
    <row r="11" spans="1:18" s="197" customFormat="1" ht="17.25" thickTop="1" thickBot="1" x14ac:dyDescent="0.3">
      <c r="A11" s="191" t="str">
        <f>'GROUND&amp;1st'!A13</f>
        <v>MIDAH</v>
      </c>
      <c r="B11" s="192" t="str">
        <f>'GROUND&amp;1st'!B13</f>
        <v>C14</v>
      </c>
      <c r="C11" s="191">
        <f>'GROUND&amp;1st'!D13</f>
        <v>200</v>
      </c>
      <c r="D11" s="191">
        <f>'GROUND&amp;1st'!E13</f>
        <v>500</v>
      </c>
      <c r="E11" s="193">
        <f>'GROUND&amp;1st'!AZ13</f>
        <v>8</v>
      </c>
      <c r="F11" s="194" t="str">
        <f>'GROUND&amp;1st'!BA13</f>
        <v>φ</v>
      </c>
      <c r="G11" s="195">
        <f>'GROUND&amp;1st'!BB13</f>
        <v>14</v>
      </c>
      <c r="H11" s="196" t="str">
        <f>'GROUND&amp;1st'!BI13</f>
        <v>Use Φ10@100mm</v>
      </c>
      <c r="J11" s="198"/>
      <c r="O11" s="202"/>
      <c r="P11" s="202"/>
      <c r="Q11" s="202"/>
      <c r="R11" s="202"/>
    </row>
    <row r="12" spans="1:18" s="197" customFormat="1" ht="17.25" thickTop="1" thickBot="1" x14ac:dyDescent="0.3">
      <c r="A12" s="191" t="str">
        <f>'GROUND&amp;1st'!A14</f>
        <v>MIDAH</v>
      </c>
      <c r="B12" s="192" t="str">
        <f>'GROUND&amp;1st'!B14</f>
        <v>C15</v>
      </c>
      <c r="C12" s="191">
        <f>'GROUND&amp;1st'!D14</f>
        <v>200</v>
      </c>
      <c r="D12" s="191">
        <f>'GROUND&amp;1st'!E14</f>
        <v>500</v>
      </c>
      <c r="E12" s="193">
        <f>'GROUND&amp;1st'!AZ14</f>
        <v>8</v>
      </c>
      <c r="F12" s="194" t="str">
        <f>'GROUND&amp;1st'!BA14</f>
        <v>φ</v>
      </c>
      <c r="G12" s="195">
        <f>'GROUND&amp;1st'!BB14</f>
        <v>14</v>
      </c>
      <c r="H12" s="196" t="str">
        <f>'GROUND&amp;1st'!BI14</f>
        <v>Use Φ10@100mm</v>
      </c>
      <c r="O12" s="202"/>
      <c r="P12" s="202"/>
      <c r="Q12" s="202"/>
      <c r="R12" s="202"/>
    </row>
    <row r="13" spans="1:18" s="197" customFormat="1" ht="17.25" thickTop="1" thickBot="1" x14ac:dyDescent="0.3">
      <c r="A13" s="191" t="str">
        <f>'GROUND&amp;1st'!A15</f>
        <v>MIDAH</v>
      </c>
      <c r="B13" s="192" t="str">
        <f>'GROUND&amp;1st'!B15</f>
        <v>C16</v>
      </c>
      <c r="C13" s="191">
        <f>'GROUND&amp;1st'!D15</f>
        <v>200</v>
      </c>
      <c r="D13" s="191">
        <f>'GROUND&amp;1st'!E15</f>
        <v>500</v>
      </c>
      <c r="E13" s="193">
        <f>'GROUND&amp;1st'!AZ15</f>
        <v>8</v>
      </c>
      <c r="F13" s="194" t="str">
        <f>'GROUND&amp;1st'!BA15</f>
        <v>φ</v>
      </c>
      <c r="G13" s="195">
        <f>'GROUND&amp;1st'!BB15</f>
        <v>14</v>
      </c>
      <c r="H13" s="196" t="str">
        <f>'GROUND&amp;1st'!BI15</f>
        <v>Use Φ10@100mm</v>
      </c>
      <c r="O13" s="202"/>
      <c r="P13" s="202"/>
      <c r="Q13" s="202"/>
      <c r="R13" s="202"/>
    </row>
    <row r="14" spans="1:18" s="169" customFormat="1" ht="17.25" thickTop="1" thickBot="1" x14ac:dyDescent="0.3">
      <c r="A14" s="158" t="str">
        <f>'GROUND&amp;1st'!A16</f>
        <v>MIDAH</v>
      </c>
      <c r="B14" s="182" t="str">
        <f>'GROUND&amp;1st'!B16</f>
        <v>C17</v>
      </c>
      <c r="C14" s="158">
        <f>'GROUND&amp;1st'!D16</f>
        <v>300</v>
      </c>
      <c r="D14" s="158">
        <f>'GROUND&amp;1st'!E16</f>
        <v>500</v>
      </c>
      <c r="E14" s="164">
        <f>'GROUND&amp;1st'!AZ16</f>
        <v>10</v>
      </c>
      <c r="F14" s="165" t="str">
        <f>'GROUND&amp;1st'!BA16</f>
        <v>φ</v>
      </c>
      <c r="G14" s="166">
        <f>'GROUND&amp;1st'!BB16</f>
        <v>14</v>
      </c>
      <c r="H14" s="167" t="str">
        <f>'GROUND&amp;1st'!BI16</f>
        <v>Use Φ10@110mm</v>
      </c>
      <c r="O14" s="185"/>
      <c r="P14" s="185"/>
      <c r="Q14" s="185"/>
      <c r="R14" s="185"/>
    </row>
    <row r="15" spans="1:18" s="169" customFormat="1" ht="17.25" thickTop="1" thickBot="1" x14ac:dyDescent="0.3">
      <c r="A15" s="158" t="str">
        <f>'GROUND&amp;1st'!A17</f>
        <v>MIDAH</v>
      </c>
      <c r="B15" s="182" t="str">
        <f>'GROUND&amp;1st'!B17</f>
        <v>C4</v>
      </c>
      <c r="C15" s="158">
        <f>'GROUND&amp;1st'!D17</f>
        <v>300</v>
      </c>
      <c r="D15" s="158">
        <f>'GROUND&amp;1st'!E17</f>
        <v>500</v>
      </c>
      <c r="E15" s="164">
        <f>'GROUND&amp;1st'!AZ17</f>
        <v>10</v>
      </c>
      <c r="F15" s="165" t="str">
        <f>'GROUND&amp;1st'!BA17</f>
        <v>φ</v>
      </c>
      <c r="G15" s="166">
        <f>'GROUND&amp;1st'!BB17</f>
        <v>14</v>
      </c>
      <c r="H15" s="183" t="str">
        <f>'GROUND&amp;1st'!BI17</f>
        <v>Use Φ10@110mm</v>
      </c>
      <c r="O15" s="185"/>
      <c r="P15" s="185"/>
      <c r="Q15" s="185"/>
      <c r="R15" s="185"/>
    </row>
    <row r="16" spans="1:18" s="169" customFormat="1" ht="17.25" thickTop="1" thickBot="1" x14ac:dyDescent="0.3">
      <c r="A16" s="158" t="str">
        <f>'GROUND&amp;1st'!A18</f>
        <v>MIDAH</v>
      </c>
      <c r="B16" s="182" t="str">
        <f>'GROUND&amp;1st'!B18</f>
        <v>C5</v>
      </c>
      <c r="C16" s="158">
        <f>'GROUND&amp;1st'!D18</f>
        <v>300</v>
      </c>
      <c r="D16" s="158">
        <f>'GROUND&amp;1st'!E18</f>
        <v>500</v>
      </c>
      <c r="E16" s="164">
        <f>'GROUND&amp;1st'!AZ18</f>
        <v>10</v>
      </c>
      <c r="F16" s="165" t="str">
        <f>'GROUND&amp;1st'!BA18</f>
        <v>φ</v>
      </c>
      <c r="G16" s="166">
        <f>'GROUND&amp;1st'!BB18</f>
        <v>14</v>
      </c>
      <c r="H16" s="167" t="str">
        <f>'GROUND&amp;1st'!BI18</f>
        <v>Use Φ10@110mm</v>
      </c>
      <c r="O16" s="185"/>
      <c r="P16" s="185"/>
      <c r="Q16" s="185"/>
      <c r="R16" s="185"/>
    </row>
    <row r="17" spans="1:18" s="169" customFormat="1" ht="17.25" thickTop="1" thickBot="1" x14ac:dyDescent="0.3">
      <c r="A17" s="158" t="str">
        <f>'GROUND&amp;1st'!A19</f>
        <v>MIDAH</v>
      </c>
      <c r="B17" s="182" t="str">
        <f>'GROUND&amp;1st'!B19</f>
        <v>C6</v>
      </c>
      <c r="C17" s="158">
        <f>'GROUND&amp;1st'!D19</f>
        <v>300</v>
      </c>
      <c r="D17" s="158">
        <f>'GROUND&amp;1st'!E19</f>
        <v>500</v>
      </c>
      <c r="E17" s="164">
        <f>'GROUND&amp;1st'!AZ19</f>
        <v>10</v>
      </c>
      <c r="F17" s="165" t="str">
        <f>'GROUND&amp;1st'!BA19</f>
        <v>φ</v>
      </c>
      <c r="G17" s="166">
        <f>'GROUND&amp;1st'!BB19</f>
        <v>14</v>
      </c>
      <c r="H17" s="167" t="str">
        <f>'GROUND&amp;1st'!BI19</f>
        <v>Use Φ10@110mm</v>
      </c>
      <c r="O17" s="185"/>
      <c r="P17" s="185"/>
      <c r="Q17" s="185"/>
      <c r="R17" s="185"/>
    </row>
    <row r="18" spans="1:18" s="169" customFormat="1" ht="17.25" thickTop="1" thickBot="1" x14ac:dyDescent="0.3">
      <c r="A18" s="158" t="str">
        <f>'GROUND&amp;1st'!A20</f>
        <v>MIDAH</v>
      </c>
      <c r="B18" s="182" t="str">
        <f>'GROUND&amp;1st'!B20</f>
        <v>C10</v>
      </c>
      <c r="C18" s="158">
        <f>'GROUND&amp;1st'!D20</f>
        <v>300</v>
      </c>
      <c r="D18" s="158">
        <f>'GROUND&amp;1st'!E20</f>
        <v>500</v>
      </c>
      <c r="E18" s="164">
        <f>'GROUND&amp;1st'!AZ20</f>
        <v>10</v>
      </c>
      <c r="F18" s="165" t="str">
        <f>'GROUND&amp;1st'!BA20</f>
        <v>φ</v>
      </c>
      <c r="G18" s="166">
        <f>'GROUND&amp;1st'!BB20</f>
        <v>14</v>
      </c>
      <c r="H18" s="167" t="str">
        <f>'GROUND&amp;1st'!BI20</f>
        <v>Use Φ10@110mm</v>
      </c>
      <c r="O18" s="185"/>
      <c r="P18" s="185"/>
      <c r="Q18" s="185"/>
      <c r="R18" s="185"/>
    </row>
    <row r="19" spans="1:18" s="135" customFormat="1" ht="17.25" thickTop="1" thickBot="1" x14ac:dyDescent="0.3">
      <c r="A19" s="130" t="str">
        <f>'GROUND&amp;1st'!A21</f>
        <v>MIDAH</v>
      </c>
      <c r="B19" s="190" t="str">
        <f>'GROUND&amp;1st'!B21</f>
        <v>C18</v>
      </c>
      <c r="C19" s="130">
        <f>'GROUND&amp;1st'!D21</f>
        <v>300</v>
      </c>
      <c r="D19" s="130">
        <f>'GROUND&amp;1st'!E21</f>
        <v>600</v>
      </c>
      <c r="E19" s="131">
        <f>'GROUND&amp;1st'!AZ21</f>
        <v>12</v>
      </c>
      <c r="F19" s="132" t="str">
        <f>'GROUND&amp;1st'!BA21</f>
        <v>φ</v>
      </c>
      <c r="G19" s="133">
        <f>'GROUND&amp;1st'!BB21</f>
        <v>14</v>
      </c>
      <c r="H19" s="134" t="str">
        <f>'GROUND&amp;1st'!BI21</f>
        <v>Use Φ10@110mm</v>
      </c>
      <c r="O19" s="214"/>
      <c r="P19" s="214"/>
      <c r="Q19" s="214"/>
      <c r="R19" s="214"/>
    </row>
    <row r="20" spans="1:18" s="128" customFormat="1" ht="17.25" thickTop="1" thickBot="1" x14ac:dyDescent="0.3">
      <c r="A20" s="123"/>
      <c r="B20" s="234"/>
      <c r="C20" s="123"/>
      <c r="D20" s="123"/>
      <c r="E20" s="124"/>
      <c r="F20" s="125"/>
      <c r="G20" s="126"/>
      <c r="H20" s="127"/>
      <c r="O20" s="235"/>
      <c r="P20" s="235"/>
      <c r="Q20" s="235"/>
      <c r="R20" s="235"/>
    </row>
    <row r="21" spans="1:18" s="231" customFormat="1" ht="17.25" thickTop="1" thickBot="1" x14ac:dyDescent="0.3">
      <c r="A21" s="225" t="str">
        <f>'GROUND&amp;1st'!A22</f>
        <v>Story1</v>
      </c>
      <c r="B21" s="226" t="str">
        <f>'GROUND&amp;1st'!B22</f>
        <v>C222</v>
      </c>
      <c r="C21" s="225">
        <f>'GROUND&amp;1st'!D22</f>
        <v>300</v>
      </c>
      <c r="D21" s="225">
        <f>'GROUND&amp;1st'!E22</f>
        <v>500</v>
      </c>
      <c r="E21" s="227">
        <f>'GROUND&amp;1st'!AZ22</f>
        <v>10</v>
      </c>
      <c r="F21" s="228" t="str">
        <f>'GROUND&amp;1st'!BA22</f>
        <v>φ</v>
      </c>
      <c r="G21" s="229">
        <f>'GROUND&amp;1st'!BB22</f>
        <v>14</v>
      </c>
      <c r="H21" s="230" t="str">
        <f>'GROUND&amp;1st'!BI22</f>
        <v>Use Φ10@110mm</v>
      </c>
      <c r="I21" s="186" t="s">
        <v>217</v>
      </c>
      <c r="J21" s="189" t="s">
        <v>211</v>
      </c>
      <c r="K21" s="186" t="s">
        <v>208</v>
      </c>
      <c r="L21" s="186" t="s">
        <v>209</v>
      </c>
      <c r="M21" s="188" t="s">
        <v>210</v>
      </c>
      <c r="N21" s="188" t="s">
        <v>212</v>
      </c>
      <c r="O21" s="201" t="s">
        <v>213</v>
      </c>
      <c r="P21" s="200"/>
      <c r="Q21" s="200"/>
      <c r="R21" s="201" t="s">
        <v>214</v>
      </c>
    </row>
    <row r="22" spans="1:18" s="231" customFormat="1" ht="58.5" customHeight="1" thickTop="1" thickBot="1" x14ac:dyDescent="0.3">
      <c r="A22" s="225" t="str">
        <f>'GROUND&amp;1st'!A23</f>
        <v>Story1</v>
      </c>
      <c r="B22" s="226" t="str">
        <f>'GROUND&amp;1st'!B23</f>
        <v>C223</v>
      </c>
      <c r="C22" s="225">
        <f>'GROUND&amp;1st'!D23</f>
        <v>300</v>
      </c>
      <c r="D22" s="225">
        <f>'GROUND&amp;1st'!E23</f>
        <v>500</v>
      </c>
      <c r="E22" s="227">
        <f>'GROUND&amp;1st'!AZ23</f>
        <v>10</v>
      </c>
      <c r="F22" s="228" t="str">
        <f>'GROUND&amp;1st'!BA23</f>
        <v>φ</v>
      </c>
      <c r="G22" s="229">
        <f>'GROUND&amp;1st'!BB23</f>
        <v>14</v>
      </c>
      <c r="H22" s="233" t="str">
        <f>'GROUND&amp;1st'!BI23</f>
        <v>Use Φ10@110mm</v>
      </c>
      <c r="I22" s="184" t="str">
        <f>A21</f>
        <v>Story1</v>
      </c>
      <c r="J22" s="184" t="s">
        <v>207</v>
      </c>
      <c r="K22" s="244" t="str">
        <f>B21&amp;B22&amp;B23&amp;B24&amp;B26&amp;B27&amp;B28&amp;B37</f>
        <v>C222C223C224C228C220C221C225C235</v>
      </c>
      <c r="L22" s="169">
        <f>C22</f>
        <v>300</v>
      </c>
      <c r="M22" s="169">
        <f>D22</f>
        <v>500</v>
      </c>
      <c r="N22" s="169">
        <v>3.3</v>
      </c>
      <c r="O22" s="185">
        <f>E22</f>
        <v>10</v>
      </c>
      <c r="P22" s="185" t="str">
        <f t="shared" ref="P22" si="3">F22</f>
        <v>φ</v>
      </c>
      <c r="Q22" s="185">
        <f t="shared" ref="Q22" si="4">G22</f>
        <v>14</v>
      </c>
      <c r="R22" s="185" t="str">
        <f t="shared" ref="R22" si="5">H22</f>
        <v>Use Φ10@110mm</v>
      </c>
    </row>
    <row r="23" spans="1:18" s="231" customFormat="1" ht="17.25" thickTop="1" thickBot="1" x14ac:dyDescent="0.3">
      <c r="A23" s="225" t="str">
        <f>'GROUND&amp;1st'!A24</f>
        <v>Story1</v>
      </c>
      <c r="B23" s="226" t="str">
        <f>'GROUND&amp;1st'!B24</f>
        <v>C224</v>
      </c>
      <c r="C23" s="225">
        <f>'GROUND&amp;1st'!D24</f>
        <v>300</v>
      </c>
      <c r="D23" s="225">
        <f>'GROUND&amp;1st'!E24</f>
        <v>500</v>
      </c>
      <c r="E23" s="227">
        <f>'GROUND&amp;1st'!AZ24</f>
        <v>10</v>
      </c>
      <c r="F23" s="228" t="str">
        <f>'GROUND&amp;1st'!BA24</f>
        <v>φ</v>
      </c>
      <c r="G23" s="229">
        <f>'GROUND&amp;1st'!BB24</f>
        <v>14</v>
      </c>
      <c r="H23" s="233" t="str">
        <f>'GROUND&amp;1st'!BI24</f>
        <v>Use Φ10@110mm</v>
      </c>
      <c r="I23" s="169"/>
      <c r="J23" s="198" t="s">
        <v>215</v>
      </c>
      <c r="K23" s="244" t="str">
        <f>B25&amp;B31&amp;B32&amp;B33&amp;B34&amp;B35&amp;B36</f>
        <v>C236C229C230C231C232C233C234</v>
      </c>
      <c r="L23" s="169">
        <f>C25</f>
        <v>200</v>
      </c>
      <c r="M23" s="169">
        <f t="shared" ref="M23" si="6">D25</f>
        <v>500</v>
      </c>
      <c r="N23" s="169">
        <v>3.3</v>
      </c>
      <c r="O23" s="185">
        <f>E25</f>
        <v>8</v>
      </c>
      <c r="P23" s="169" t="str">
        <f t="shared" ref="P23:Q23" si="7">F25</f>
        <v>φ</v>
      </c>
      <c r="Q23" s="169">
        <f t="shared" si="7"/>
        <v>14</v>
      </c>
      <c r="R23" s="169" t="str">
        <f>H25</f>
        <v>Use Φ10@100mm</v>
      </c>
    </row>
    <row r="24" spans="1:18" s="231" customFormat="1" ht="17.25" thickTop="1" thickBot="1" x14ac:dyDescent="0.3">
      <c r="A24" s="225" t="str">
        <f>'GROUND&amp;1st'!A25</f>
        <v>Story1</v>
      </c>
      <c r="B24" s="226" t="str">
        <f>'GROUND&amp;1st'!B25</f>
        <v>C228</v>
      </c>
      <c r="C24" s="225">
        <f>'GROUND&amp;1st'!D25</f>
        <v>300</v>
      </c>
      <c r="D24" s="225">
        <f>'GROUND&amp;1st'!E25</f>
        <v>500</v>
      </c>
      <c r="E24" s="227">
        <f>'GROUND&amp;1st'!AZ25</f>
        <v>10</v>
      </c>
      <c r="F24" s="228" t="str">
        <f>'GROUND&amp;1st'!BA25</f>
        <v>φ</v>
      </c>
      <c r="G24" s="229">
        <f>'GROUND&amp;1st'!BB25</f>
        <v>14</v>
      </c>
      <c r="H24" s="233" t="str">
        <f>'GROUND&amp;1st'!BI25</f>
        <v>Use Φ10@110mm</v>
      </c>
      <c r="J24" s="135"/>
      <c r="K24" s="244"/>
      <c r="O24" s="232"/>
      <c r="P24" s="232"/>
      <c r="Q24" s="232"/>
      <c r="R24" s="232"/>
    </row>
    <row r="25" spans="1:18" s="242" customFormat="1" ht="17.25" thickTop="1" thickBot="1" x14ac:dyDescent="0.3">
      <c r="A25" s="236" t="str">
        <f>'GROUND&amp;1st'!A26</f>
        <v>Story1</v>
      </c>
      <c r="B25" s="237" t="str">
        <f>'GROUND&amp;1st'!B26</f>
        <v>C236</v>
      </c>
      <c r="C25" s="236">
        <f>'GROUND&amp;1st'!D26</f>
        <v>200</v>
      </c>
      <c r="D25" s="236">
        <f>'GROUND&amp;1st'!E26</f>
        <v>500</v>
      </c>
      <c r="E25" s="238">
        <f>'GROUND&amp;1st'!AZ26</f>
        <v>8</v>
      </c>
      <c r="F25" s="239" t="str">
        <f>'GROUND&amp;1st'!BA26</f>
        <v>φ</v>
      </c>
      <c r="G25" s="240">
        <f>'GROUND&amp;1st'!BB26</f>
        <v>14</v>
      </c>
      <c r="H25" s="241" t="str">
        <f>'GROUND&amp;1st'!BI26</f>
        <v>Use Φ10@100mm</v>
      </c>
      <c r="O25" s="243"/>
      <c r="P25" s="243"/>
      <c r="Q25" s="243"/>
      <c r="R25" s="243"/>
    </row>
    <row r="26" spans="1:18" s="231" customFormat="1" ht="17.25" thickTop="1" thickBot="1" x14ac:dyDescent="0.3">
      <c r="A26" s="225" t="str">
        <f>'GROUND&amp;1st'!A27</f>
        <v>Story1</v>
      </c>
      <c r="B26" s="226" t="str">
        <f>'GROUND&amp;1st'!B27</f>
        <v>C220</v>
      </c>
      <c r="C26" s="225">
        <f>'GROUND&amp;1st'!D27</f>
        <v>300</v>
      </c>
      <c r="D26" s="225">
        <f>'GROUND&amp;1st'!E27</f>
        <v>500</v>
      </c>
      <c r="E26" s="227">
        <f>'GROUND&amp;1st'!AZ27</f>
        <v>10</v>
      </c>
      <c r="F26" s="228" t="str">
        <f>'GROUND&amp;1st'!BA27</f>
        <v>φ</v>
      </c>
      <c r="G26" s="229">
        <f>'GROUND&amp;1st'!BB27</f>
        <v>14</v>
      </c>
      <c r="H26" s="233" t="str">
        <f>'GROUND&amp;1st'!BI27</f>
        <v>Use Φ10@110mm</v>
      </c>
      <c r="J26" s="198" t="s">
        <v>216</v>
      </c>
      <c r="K26" s="231" t="str">
        <f>B29&amp;B30</f>
        <v>C226C227</v>
      </c>
      <c r="L26" s="231">
        <f>C29</f>
        <v>300</v>
      </c>
      <c r="M26" s="231">
        <f>D29</f>
        <v>600</v>
      </c>
      <c r="N26" s="231">
        <v>3.3</v>
      </c>
      <c r="O26" s="232">
        <f>E29</f>
        <v>12</v>
      </c>
      <c r="P26" s="232" t="str">
        <f t="shared" ref="P26:R26" si="8">F29</f>
        <v>φ</v>
      </c>
      <c r="Q26" s="232">
        <f t="shared" si="8"/>
        <v>14</v>
      </c>
      <c r="R26" s="232" t="str">
        <f t="shared" si="8"/>
        <v>Use Φ10@110mm</v>
      </c>
    </row>
    <row r="27" spans="1:18" s="231" customFormat="1" ht="17.25" thickTop="1" thickBot="1" x14ac:dyDescent="0.3">
      <c r="A27" s="225" t="str">
        <f>'GROUND&amp;1st'!A28</f>
        <v>Story1</v>
      </c>
      <c r="B27" s="226" t="str">
        <f>'GROUND&amp;1st'!B28</f>
        <v>C221</v>
      </c>
      <c r="C27" s="225">
        <f>'GROUND&amp;1st'!D28</f>
        <v>300</v>
      </c>
      <c r="D27" s="225">
        <f>'GROUND&amp;1st'!E28</f>
        <v>500</v>
      </c>
      <c r="E27" s="227">
        <f>'GROUND&amp;1st'!AZ28</f>
        <v>10</v>
      </c>
      <c r="F27" s="228" t="str">
        <f>'GROUND&amp;1st'!BA28</f>
        <v>φ</v>
      </c>
      <c r="G27" s="229">
        <f>'GROUND&amp;1st'!BB28</f>
        <v>14</v>
      </c>
      <c r="H27" s="233" t="str">
        <f>'GROUND&amp;1st'!BI28</f>
        <v>Use Φ10@110mm</v>
      </c>
      <c r="J27" s="197"/>
      <c r="O27" s="232"/>
      <c r="P27" s="232"/>
      <c r="Q27" s="232"/>
      <c r="R27" s="232"/>
    </row>
    <row r="28" spans="1:18" s="231" customFormat="1" ht="17.25" thickTop="1" thickBot="1" x14ac:dyDescent="0.3">
      <c r="A28" s="225" t="str">
        <f>'GROUND&amp;1st'!A29</f>
        <v>Story1</v>
      </c>
      <c r="B28" s="226" t="str">
        <f>'GROUND&amp;1st'!B29</f>
        <v>C225</v>
      </c>
      <c r="C28" s="225">
        <f>'GROUND&amp;1st'!D29</f>
        <v>300</v>
      </c>
      <c r="D28" s="225">
        <f>'GROUND&amp;1st'!E29</f>
        <v>500</v>
      </c>
      <c r="E28" s="227">
        <f>'GROUND&amp;1st'!AZ29</f>
        <v>10</v>
      </c>
      <c r="F28" s="228" t="str">
        <f>'GROUND&amp;1st'!BA29</f>
        <v>φ</v>
      </c>
      <c r="G28" s="229">
        <f>'GROUND&amp;1st'!BB29</f>
        <v>14</v>
      </c>
      <c r="H28" s="233" t="str">
        <f>'GROUND&amp;1st'!BI29</f>
        <v>Use Φ10@110mm</v>
      </c>
      <c r="J28" s="198" t="s">
        <v>216</v>
      </c>
      <c r="O28" s="232"/>
      <c r="P28" s="232"/>
      <c r="Q28" s="232"/>
      <c r="R28" s="232"/>
    </row>
    <row r="29" spans="1:18" s="247" customFormat="1" ht="17.25" thickTop="1" thickBot="1" x14ac:dyDescent="0.3">
      <c r="A29" s="96" t="str">
        <f>'GROUND&amp;1st'!A30</f>
        <v>Story1</v>
      </c>
      <c r="B29" s="113" t="str">
        <f>'GROUND&amp;1st'!B30</f>
        <v>C226</v>
      </c>
      <c r="C29" s="96">
        <f>'GROUND&amp;1st'!D30</f>
        <v>300</v>
      </c>
      <c r="D29" s="96">
        <f>'GROUND&amp;1st'!E30</f>
        <v>600</v>
      </c>
      <c r="E29" s="105">
        <f>'GROUND&amp;1st'!AZ30</f>
        <v>12</v>
      </c>
      <c r="F29" s="106" t="str">
        <f>'GROUND&amp;1st'!BA30</f>
        <v>φ</v>
      </c>
      <c r="G29" s="107">
        <f>'GROUND&amp;1st'!BB30</f>
        <v>14</v>
      </c>
      <c r="H29" s="246" t="str">
        <f>'GROUND&amp;1st'!BI30</f>
        <v>Use Φ10@110mm</v>
      </c>
      <c r="O29" s="97"/>
      <c r="P29" s="97"/>
      <c r="Q29" s="97"/>
      <c r="R29" s="97"/>
    </row>
    <row r="30" spans="1:18" s="247" customFormat="1" ht="17.25" thickTop="1" thickBot="1" x14ac:dyDescent="0.3">
      <c r="A30" s="96" t="str">
        <f>'GROUND&amp;1st'!A31</f>
        <v>Story1</v>
      </c>
      <c r="B30" s="113" t="str">
        <f>'GROUND&amp;1st'!B31</f>
        <v>C227</v>
      </c>
      <c r="C30" s="96">
        <f>'GROUND&amp;1st'!D31</f>
        <v>300</v>
      </c>
      <c r="D30" s="96">
        <f>'GROUND&amp;1st'!E31</f>
        <v>600</v>
      </c>
      <c r="E30" s="105">
        <f>'GROUND&amp;1st'!AZ31</f>
        <v>12</v>
      </c>
      <c r="F30" s="106" t="str">
        <f>'GROUND&amp;1st'!BA31</f>
        <v>φ</v>
      </c>
      <c r="G30" s="107">
        <f>'GROUND&amp;1st'!BB31</f>
        <v>14</v>
      </c>
      <c r="H30" s="246" t="str">
        <f>'GROUND&amp;1st'!BI31</f>
        <v>Use Φ10@110mm</v>
      </c>
      <c r="O30" s="97"/>
      <c r="P30" s="97"/>
      <c r="Q30" s="97"/>
      <c r="R30" s="97"/>
    </row>
    <row r="31" spans="1:18" s="242" customFormat="1" ht="17.25" thickTop="1" thickBot="1" x14ac:dyDescent="0.3">
      <c r="A31" s="236" t="str">
        <f>'GROUND&amp;1st'!A32</f>
        <v>Story1</v>
      </c>
      <c r="B31" s="237" t="str">
        <f>'GROUND&amp;1st'!B32</f>
        <v>C229</v>
      </c>
      <c r="C31" s="236">
        <f>'GROUND&amp;1st'!D32</f>
        <v>200</v>
      </c>
      <c r="D31" s="236">
        <f>'GROUND&amp;1st'!E32</f>
        <v>500</v>
      </c>
      <c r="E31" s="238">
        <f>'GROUND&amp;1st'!AZ32</f>
        <v>8</v>
      </c>
      <c r="F31" s="239" t="str">
        <f>'GROUND&amp;1st'!BA32</f>
        <v>φ</v>
      </c>
      <c r="G31" s="240">
        <f>'GROUND&amp;1st'!BB32</f>
        <v>14</v>
      </c>
      <c r="H31" s="241" t="str">
        <f>'GROUND&amp;1st'!BI32</f>
        <v>Use Φ10@100mm</v>
      </c>
      <c r="O31" s="243"/>
      <c r="P31" s="243"/>
      <c r="Q31" s="243"/>
      <c r="R31" s="243"/>
    </row>
    <row r="32" spans="1:18" s="242" customFormat="1" ht="17.25" thickTop="1" thickBot="1" x14ac:dyDescent="0.3">
      <c r="A32" s="236" t="str">
        <f>'GROUND&amp;1st'!A33</f>
        <v>Story1</v>
      </c>
      <c r="B32" s="237" t="str">
        <f>'GROUND&amp;1st'!B33</f>
        <v>C230</v>
      </c>
      <c r="C32" s="236">
        <f>'GROUND&amp;1st'!D33</f>
        <v>200</v>
      </c>
      <c r="D32" s="236">
        <f>'GROUND&amp;1st'!E33</f>
        <v>500</v>
      </c>
      <c r="E32" s="238">
        <f>'GROUND&amp;1st'!AZ33</f>
        <v>8</v>
      </c>
      <c r="F32" s="239" t="str">
        <f>'GROUND&amp;1st'!BA33</f>
        <v>φ</v>
      </c>
      <c r="G32" s="240">
        <f>'GROUND&amp;1st'!BB33</f>
        <v>14</v>
      </c>
      <c r="H32" s="241" t="str">
        <f>'GROUND&amp;1st'!BI33</f>
        <v>Use Φ10@100mm</v>
      </c>
      <c r="O32" s="243"/>
      <c r="P32" s="243"/>
      <c r="Q32" s="243"/>
      <c r="R32" s="243"/>
    </row>
    <row r="33" spans="1:18" s="242" customFormat="1" ht="17.25" thickTop="1" thickBot="1" x14ac:dyDescent="0.3">
      <c r="A33" s="236" t="str">
        <f>'GROUND&amp;1st'!A34</f>
        <v>Story1</v>
      </c>
      <c r="B33" s="237" t="str">
        <f>'GROUND&amp;1st'!B34</f>
        <v>C231</v>
      </c>
      <c r="C33" s="236">
        <f>'GROUND&amp;1st'!D34</f>
        <v>200</v>
      </c>
      <c r="D33" s="236">
        <f>'GROUND&amp;1st'!E34</f>
        <v>500</v>
      </c>
      <c r="E33" s="238">
        <f>'GROUND&amp;1st'!AZ34</f>
        <v>8</v>
      </c>
      <c r="F33" s="239" t="str">
        <f>'GROUND&amp;1st'!BA34</f>
        <v>φ</v>
      </c>
      <c r="G33" s="240">
        <f>'GROUND&amp;1st'!BB34</f>
        <v>14</v>
      </c>
      <c r="H33" s="245" t="str">
        <f>'GROUND&amp;1st'!BI34</f>
        <v>Use Φ10@100mm</v>
      </c>
      <c r="O33" s="243"/>
      <c r="P33" s="243"/>
      <c r="Q33" s="243"/>
      <c r="R33" s="243"/>
    </row>
    <row r="34" spans="1:18" s="242" customFormat="1" ht="17.25" thickTop="1" thickBot="1" x14ac:dyDescent="0.3">
      <c r="A34" s="236" t="str">
        <f>'GROUND&amp;1st'!A35</f>
        <v>Story1</v>
      </c>
      <c r="B34" s="237" t="str">
        <f>'GROUND&amp;1st'!B35</f>
        <v>C232</v>
      </c>
      <c r="C34" s="236">
        <f>'GROUND&amp;1st'!D35</f>
        <v>200</v>
      </c>
      <c r="D34" s="236">
        <f>'GROUND&amp;1st'!E35</f>
        <v>500</v>
      </c>
      <c r="E34" s="238">
        <f>'GROUND&amp;1st'!AZ35</f>
        <v>8</v>
      </c>
      <c r="F34" s="239" t="str">
        <f>'GROUND&amp;1st'!BA35</f>
        <v>φ</v>
      </c>
      <c r="G34" s="240">
        <f>'GROUND&amp;1st'!BB35</f>
        <v>14</v>
      </c>
      <c r="H34" s="241" t="str">
        <f>'GROUND&amp;1st'!BI35</f>
        <v>Use Φ10@100mm</v>
      </c>
      <c r="O34" s="243"/>
      <c r="P34" s="243"/>
      <c r="Q34" s="243"/>
      <c r="R34" s="243"/>
    </row>
    <row r="35" spans="1:18" s="242" customFormat="1" ht="17.25" thickTop="1" thickBot="1" x14ac:dyDescent="0.3">
      <c r="A35" s="236" t="str">
        <f>'GROUND&amp;1st'!A36</f>
        <v>Story1</v>
      </c>
      <c r="B35" s="237" t="str">
        <f>'GROUND&amp;1st'!B36</f>
        <v>C233</v>
      </c>
      <c r="C35" s="236">
        <f>'GROUND&amp;1st'!D36</f>
        <v>200</v>
      </c>
      <c r="D35" s="236">
        <f>'GROUND&amp;1st'!E36</f>
        <v>500</v>
      </c>
      <c r="E35" s="238">
        <f>'GROUND&amp;1st'!AZ36</f>
        <v>8</v>
      </c>
      <c r="F35" s="239" t="str">
        <f>'GROUND&amp;1st'!BA36</f>
        <v>φ</v>
      </c>
      <c r="G35" s="240">
        <f>'GROUND&amp;1st'!BB36</f>
        <v>14</v>
      </c>
      <c r="H35" s="241" t="str">
        <f>'GROUND&amp;1st'!BI36</f>
        <v>Use Φ10@100mm</v>
      </c>
      <c r="O35" s="243"/>
      <c r="P35" s="243"/>
      <c r="Q35" s="243"/>
      <c r="R35" s="243"/>
    </row>
    <row r="36" spans="1:18" s="242" customFormat="1" ht="17.25" thickTop="1" thickBot="1" x14ac:dyDescent="0.3">
      <c r="A36" s="236" t="str">
        <f>'GROUND&amp;1st'!A37</f>
        <v>Story1</v>
      </c>
      <c r="B36" s="237" t="str">
        <f>'GROUND&amp;1st'!B37</f>
        <v>C234</v>
      </c>
      <c r="C36" s="236">
        <f>'GROUND&amp;1st'!D37</f>
        <v>200</v>
      </c>
      <c r="D36" s="236">
        <f>'GROUND&amp;1st'!E37</f>
        <v>500</v>
      </c>
      <c r="E36" s="238">
        <f>'GROUND&amp;1st'!AZ37</f>
        <v>8</v>
      </c>
      <c r="F36" s="239" t="str">
        <f>'GROUND&amp;1st'!BA37</f>
        <v>φ</v>
      </c>
      <c r="G36" s="240">
        <f>'GROUND&amp;1st'!BB37</f>
        <v>14</v>
      </c>
      <c r="H36" s="241" t="str">
        <f>'GROUND&amp;1st'!BI37</f>
        <v>Use Φ10@100mm</v>
      </c>
      <c r="O36" s="243"/>
      <c r="P36" s="243"/>
      <c r="Q36" s="243"/>
      <c r="R36" s="243"/>
    </row>
    <row r="37" spans="1:18" s="231" customFormat="1" ht="17.25" thickTop="1" thickBot="1" x14ac:dyDescent="0.3">
      <c r="A37" s="225" t="str">
        <f>'GROUND&amp;1st'!A38</f>
        <v>Story1</v>
      </c>
      <c r="B37" s="226" t="str">
        <f>'GROUND&amp;1st'!B38</f>
        <v>C235</v>
      </c>
      <c r="C37" s="225">
        <f>'GROUND&amp;1st'!D38</f>
        <v>300</v>
      </c>
      <c r="D37" s="225">
        <f>'GROUND&amp;1st'!E38</f>
        <v>500</v>
      </c>
      <c r="E37" s="227">
        <f>'GROUND&amp;1st'!AZ38</f>
        <v>10</v>
      </c>
      <c r="F37" s="228" t="str">
        <f>'GROUND&amp;1st'!BA38</f>
        <v>φ</v>
      </c>
      <c r="G37" s="229">
        <f>'GROUND&amp;1st'!BB38</f>
        <v>14</v>
      </c>
      <c r="H37" s="233" t="str">
        <f>'GROUND&amp;1st'!BI38</f>
        <v>Use Φ10@110mm</v>
      </c>
      <c r="O37" s="232"/>
      <c r="P37" s="232"/>
      <c r="Q37" s="232"/>
      <c r="R37" s="232"/>
    </row>
    <row r="38" spans="1:18" s="128" customFormat="1" ht="17.25" thickTop="1" thickBot="1" x14ac:dyDescent="0.3">
      <c r="A38" s="123"/>
      <c r="B38" s="234"/>
      <c r="C38" s="123"/>
      <c r="D38" s="123"/>
      <c r="E38" s="124"/>
      <c r="F38" s="125"/>
      <c r="G38" s="126"/>
      <c r="H38" s="127"/>
      <c r="O38" s="235"/>
      <c r="P38" s="235"/>
      <c r="Q38" s="235"/>
      <c r="R38" s="235"/>
    </row>
    <row r="39" spans="1:18" s="247" customFormat="1" ht="17.25" thickTop="1" thickBot="1" x14ac:dyDescent="0.3">
      <c r="A39" s="96" t="str">
        <f>'GROUND&amp;1st'!A39</f>
        <v>Story 2</v>
      </c>
      <c r="B39" s="113" t="str">
        <f>'GROUND&amp;1st'!B39</f>
        <v>C154</v>
      </c>
      <c r="C39" s="96">
        <f>'GROUND&amp;1st'!D39</f>
        <v>300</v>
      </c>
      <c r="D39" s="96">
        <f>'GROUND&amp;1st'!E39</f>
        <v>500</v>
      </c>
      <c r="E39" s="114">
        <f>'GROUND&amp;1st'!AZ39</f>
        <v>10</v>
      </c>
      <c r="F39" s="115" t="str">
        <f>'GROUND&amp;1st'!BA39</f>
        <v>φ</v>
      </c>
      <c r="G39" s="107">
        <f>'GROUND&amp;1st'!BB39</f>
        <v>14</v>
      </c>
      <c r="H39" s="116" t="str">
        <f>'GROUND&amp;1st'!BI39</f>
        <v>Use Φ10@110mm</v>
      </c>
      <c r="I39" s="186" t="s">
        <v>217</v>
      </c>
      <c r="J39" s="189" t="s">
        <v>211</v>
      </c>
      <c r="K39" s="186" t="s">
        <v>208</v>
      </c>
      <c r="L39" s="186" t="s">
        <v>209</v>
      </c>
      <c r="M39" s="188" t="s">
        <v>210</v>
      </c>
      <c r="N39" s="188" t="s">
        <v>212</v>
      </c>
      <c r="O39" s="201" t="s">
        <v>213</v>
      </c>
      <c r="P39" s="200"/>
      <c r="Q39" s="200"/>
      <c r="R39" s="201" t="s">
        <v>214</v>
      </c>
    </row>
    <row r="40" spans="1:18" s="247" customFormat="1" ht="17.25" thickTop="1" thickBot="1" x14ac:dyDescent="0.3">
      <c r="A40" s="96" t="str">
        <f>'GROUND&amp;1st'!A40</f>
        <v>Story 2</v>
      </c>
      <c r="B40" s="113" t="str">
        <f>'GROUND&amp;1st'!B40</f>
        <v>C155</v>
      </c>
      <c r="C40" s="96">
        <f>'GROUND&amp;1st'!D40</f>
        <v>300</v>
      </c>
      <c r="D40" s="96">
        <f>'GROUND&amp;1st'!E40</f>
        <v>500</v>
      </c>
      <c r="E40" s="105">
        <f>'GROUND&amp;1st'!AZ40</f>
        <v>10</v>
      </c>
      <c r="F40" s="106" t="str">
        <f>'GROUND&amp;1st'!BA40</f>
        <v>φ</v>
      </c>
      <c r="G40" s="107">
        <f>'GROUND&amp;1st'!BB40</f>
        <v>14</v>
      </c>
      <c r="H40" s="246" t="str">
        <f>'GROUND&amp;1st'!BI40</f>
        <v>Use Φ10@110mm</v>
      </c>
      <c r="I40" s="184" t="str">
        <f>A39</f>
        <v>Story 2</v>
      </c>
      <c r="J40" s="184" t="s">
        <v>207</v>
      </c>
      <c r="K40" s="247" t="str">
        <f>B39&amp;B40&amp;B41&amp;B427&amp;B42&amp;B44&amp;B45&amp;B46&amp;B55</f>
        <v>C154C155C156C160C152C153C157C167</v>
      </c>
      <c r="L40" s="247">
        <f>C39</f>
        <v>300</v>
      </c>
      <c r="M40" s="247">
        <f>D39</f>
        <v>500</v>
      </c>
      <c r="N40" s="247">
        <v>3.3</v>
      </c>
      <c r="O40" s="97">
        <f>E39</f>
        <v>10</v>
      </c>
      <c r="P40" s="97" t="str">
        <f t="shared" ref="P40:R40" si="9">F39</f>
        <v>φ</v>
      </c>
      <c r="Q40" s="97">
        <f t="shared" si="9"/>
        <v>14</v>
      </c>
      <c r="R40" s="97" t="str">
        <f t="shared" si="9"/>
        <v>Use Φ10@110mm</v>
      </c>
    </row>
    <row r="41" spans="1:18" s="247" customFormat="1" ht="17.25" thickTop="1" thickBot="1" x14ac:dyDescent="0.3">
      <c r="A41" s="96" t="str">
        <f>'GROUND&amp;1st'!A41</f>
        <v>Story 2</v>
      </c>
      <c r="B41" s="113" t="str">
        <f>'GROUND&amp;1st'!B41</f>
        <v>C156</v>
      </c>
      <c r="C41" s="96">
        <f>'GROUND&amp;1st'!D41</f>
        <v>300</v>
      </c>
      <c r="D41" s="96">
        <f>'GROUND&amp;1st'!E41</f>
        <v>500</v>
      </c>
      <c r="E41" s="105">
        <f>'GROUND&amp;1st'!AZ41</f>
        <v>10</v>
      </c>
      <c r="F41" s="106" t="str">
        <f>'GROUND&amp;1st'!BA41</f>
        <v>φ</v>
      </c>
      <c r="G41" s="107">
        <f>'GROUND&amp;1st'!BB41</f>
        <v>14</v>
      </c>
      <c r="H41" s="246" t="str">
        <f>'GROUND&amp;1st'!BI41</f>
        <v>Use Φ10@110mm</v>
      </c>
      <c r="I41" s="169"/>
      <c r="J41" s="198" t="s">
        <v>215</v>
      </c>
      <c r="K41" s="247" t="str">
        <f>B43&amp;B48</f>
        <v>C168C159</v>
      </c>
      <c r="L41" s="247">
        <f>C43</f>
        <v>300</v>
      </c>
      <c r="M41" s="247">
        <f>D43</f>
        <v>600</v>
      </c>
      <c r="N41" s="247">
        <v>3.3</v>
      </c>
      <c r="O41" s="97">
        <f>E43</f>
        <v>12</v>
      </c>
      <c r="P41" s="97" t="str">
        <f t="shared" ref="P41:R41" si="10">F43</f>
        <v>φ</v>
      </c>
      <c r="Q41" s="97">
        <f t="shared" si="10"/>
        <v>14</v>
      </c>
      <c r="R41" s="97" t="str">
        <f t="shared" si="10"/>
        <v>Use Φ10@110mm</v>
      </c>
    </row>
    <row r="42" spans="1:18" s="247" customFormat="1" ht="17.25" thickTop="1" thickBot="1" x14ac:dyDescent="0.3">
      <c r="A42" s="96" t="str">
        <f>'GROUND&amp;1st'!A42</f>
        <v>Story 2</v>
      </c>
      <c r="B42" s="113" t="str">
        <f>'GROUND&amp;1st'!B42</f>
        <v>C160</v>
      </c>
      <c r="C42" s="96">
        <f>'GROUND&amp;1st'!D42</f>
        <v>300</v>
      </c>
      <c r="D42" s="96">
        <f>'GROUND&amp;1st'!E42</f>
        <v>500</v>
      </c>
      <c r="E42" s="105">
        <f>'GROUND&amp;1st'!AZ42</f>
        <v>10</v>
      </c>
      <c r="F42" s="106" t="str">
        <f>'GROUND&amp;1st'!BA42</f>
        <v>φ</v>
      </c>
      <c r="G42" s="107">
        <f>'GROUND&amp;1st'!BB42</f>
        <v>14</v>
      </c>
      <c r="H42" s="246" t="str">
        <f>'GROUND&amp;1st'!BI42</f>
        <v>Use Φ10@110mm</v>
      </c>
      <c r="I42" s="231"/>
      <c r="J42" s="135"/>
      <c r="O42" s="97"/>
      <c r="P42" s="97"/>
      <c r="Q42" s="97"/>
      <c r="R42" s="97"/>
    </row>
    <row r="43" spans="1:18" s="157" customFormat="1" ht="17.25" thickTop="1" thickBot="1" x14ac:dyDescent="0.3">
      <c r="A43" s="152" t="str">
        <f>'GROUND&amp;1st'!A43</f>
        <v>Story 2</v>
      </c>
      <c r="B43" s="215" t="str">
        <f>'GROUND&amp;1st'!B43</f>
        <v>C168</v>
      </c>
      <c r="C43" s="152">
        <f>'GROUND&amp;1st'!D43</f>
        <v>300</v>
      </c>
      <c r="D43" s="152">
        <f>'GROUND&amp;1st'!E43</f>
        <v>600</v>
      </c>
      <c r="E43" s="153">
        <f>'GROUND&amp;1st'!AZ43</f>
        <v>12</v>
      </c>
      <c r="F43" s="154" t="str">
        <f>'GROUND&amp;1st'!BA43</f>
        <v>φ</v>
      </c>
      <c r="G43" s="155">
        <f>'GROUND&amp;1st'!BB43</f>
        <v>14</v>
      </c>
      <c r="H43" s="156" t="str">
        <f>'GROUND&amp;1st'!BI43</f>
        <v>Use Φ10@110mm</v>
      </c>
      <c r="O43" s="216"/>
      <c r="P43" s="216"/>
      <c r="Q43" s="216"/>
      <c r="R43" s="216"/>
    </row>
    <row r="44" spans="1:18" s="247" customFormat="1" ht="17.25" thickTop="1" thickBot="1" x14ac:dyDescent="0.3">
      <c r="A44" s="96" t="str">
        <f>'GROUND&amp;1st'!A44</f>
        <v>Story 2</v>
      </c>
      <c r="B44" s="113" t="str">
        <f>'GROUND&amp;1st'!B44</f>
        <v>C152</v>
      </c>
      <c r="C44" s="96">
        <f>'GROUND&amp;1st'!D44</f>
        <v>300</v>
      </c>
      <c r="D44" s="96">
        <f>'GROUND&amp;1st'!E44</f>
        <v>500</v>
      </c>
      <c r="E44" s="105">
        <f>'GROUND&amp;1st'!AZ44</f>
        <v>10</v>
      </c>
      <c r="F44" s="106" t="str">
        <f>'GROUND&amp;1st'!BA44</f>
        <v>φ</v>
      </c>
      <c r="G44" s="107">
        <f>'GROUND&amp;1st'!BB44</f>
        <v>14</v>
      </c>
      <c r="H44" s="246" t="str">
        <f>'GROUND&amp;1st'!BI44</f>
        <v>Use Φ10@110mm</v>
      </c>
      <c r="I44" s="231"/>
      <c r="J44" s="198" t="s">
        <v>216</v>
      </c>
      <c r="K44" s="247" t="str">
        <f>B47&amp;B49&amp;B50&amp;B51&amp;B52&amp;B53&amp;B54</f>
        <v>C158C161C162C163C164C165C166</v>
      </c>
      <c r="L44" s="247">
        <f>C47</f>
        <v>200</v>
      </c>
      <c r="M44" s="247">
        <f>D47</f>
        <v>500</v>
      </c>
      <c r="N44" s="247">
        <v>3.3</v>
      </c>
      <c r="O44" s="97">
        <f>E47</f>
        <v>8</v>
      </c>
      <c r="P44" s="97" t="str">
        <f t="shared" ref="P44:R44" si="11">F47</f>
        <v>φ</v>
      </c>
      <c r="Q44" s="97">
        <f t="shared" si="11"/>
        <v>14</v>
      </c>
      <c r="R44" s="97" t="str">
        <f t="shared" si="11"/>
        <v>Use Φ10@100mm</v>
      </c>
    </row>
    <row r="45" spans="1:18" s="247" customFormat="1" ht="17.25" thickTop="1" thickBot="1" x14ac:dyDescent="0.3">
      <c r="A45" s="96" t="str">
        <f>'GROUND&amp;1st'!A45</f>
        <v>Story 2</v>
      </c>
      <c r="B45" s="113" t="str">
        <f>'GROUND&amp;1st'!B45</f>
        <v>C153</v>
      </c>
      <c r="C45" s="96">
        <f>'GROUND&amp;1st'!D45</f>
        <v>300</v>
      </c>
      <c r="D45" s="96">
        <f>'GROUND&amp;1st'!E45</f>
        <v>500</v>
      </c>
      <c r="E45" s="105">
        <f>'GROUND&amp;1st'!AZ45</f>
        <v>10</v>
      </c>
      <c r="F45" s="106" t="str">
        <f>'GROUND&amp;1st'!BA45</f>
        <v>φ</v>
      </c>
      <c r="G45" s="107">
        <f>'GROUND&amp;1st'!BB45</f>
        <v>14</v>
      </c>
      <c r="H45" s="246" t="str">
        <f>'GROUND&amp;1st'!BI45</f>
        <v>Use Φ10@110mm</v>
      </c>
      <c r="I45" s="231"/>
      <c r="J45" s="197"/>
      <c r="O45" s="97"/>
      <c r="P45" s="97"/>
      <c r="Q45" s="97"/>
      <c r="R45" s="97"/>
    </row>
    <row r="46" spans="1:18" s="247" customFormat="1" ht="18" customHeight="1" thickTop="1" thickBot="1" x14ac:dyDescent="0.3">
      <c r="A46" s="96" t="str">
        <f>'GROUND&amp;1st'!A46</f>
        <v>Story 2</v>
      </c>
      <c r="B46" s="113" t="str">
        <f>'GROUND&amp;1st'!B46</f>
        <v>C157</v>
      </c>
      <c r="C46" s="96">
        <f>'GROUND&amp;1st'!D46</f>
        <v>300</v>
      </c>
      <c r="D46" s="96">
        <f>'GROUND&amp;1st'!E46</f>
        <v>500</v>
      </c>
      <c r="E46" s="105">
        <f>'GROUND&amp;1st'!AZ46</f>
        <v>10</v>
      </c>
      <c r="F46" s="106" t="str">
        <f>'GROUND&amp;1st'!BA46</f>
        <v>φ</v>
      </c>
      <c r="G46" s="107">
        <f>'GROUND&amp;1st'!BB46</f>
        <v>14</v>
      </c>
      <c r="H46" s="246" t="str">
        <f>'GROUND&amp;1st'!BI46</f>
        <v>Use Φ10@110mm</v>
      </c>
      <c r="I46" s="231"/>
      <c r="J46" s="198" t="s">
        <v>216</v>
      </c>
      <c r="O46" s="97"/>
      <c r="P46" s="97"/>
      <c r="Q46" s="97"/>
      <c r="R46" s="97"/>
    </row>
    <row r="47" spans="1:18" s="223" customFormat="1" ht="17.25" thickTop="1" thickBot="1" x14ac:dyDescent="0.3">
      <c r="A47" s="217" t="str">
        <f>'GROUND&amp;1st'!A47</f>
        <v>Story 2</v>
      </c>
      <c r="B47" s="218" t="str">
        <f>'GROUND&amp;1st'!B47</f>
        <v>C158</v>
      </c>
      <c r="C47" s="217">
        <f>'GROUND&amp;1st'!D47</f>
        <v>200</v>
      </c>
      <c r="D47" s="217">
        <f>'GROUND&amp;1st'!E47</f>
        <v>500</v>
      </c>
      <c r="E47" s="219">
        <f>'GROUND&amp;1st'!AZ47</f>
        <v>8</v>
      </c>
      <c r="F47" s="220" t="str">
        <f>'GROUND&amp;1st'!BA47</f>
        <v>φ</v>
      </c>
      <c r="G47" s="221">
        <f>'GROUND&amp;1st'!BB47</f>
        <v>14</v>
      </c>
      <c r="H47" s="222" t="str">
        <f>'GROUND&amp;1st'!BI47</f>
        <v>Use Φ10@100mm</v>
      </c>
      <c r="O47" s="224"/>
      <c r="P47" s="224"/>
      <c r="Q47" s="224"/>
      <c r="R47" s="224"/>
    </row>
    <row r="48" spans="1:18" s="157" customFormat="1" ht="17.25" thickTop="1" thickBot="1" x14ac:dyDescent="0.3">
      <c r="A48" s="152" t="str">
        <f>'GROUND&amp;1st'!A48</f>
        <v>Story 2</v>
      </c>
      <c r="B48" s="215" t="str">
        <f>'GROUND&amp;1st'!B48</f>
        <v>C159</v>
      </c>
      <c r="C48" s="152">
        <f>'GROUND&amp;1st'!D48</f>
        <v>300</v>
      </c>
      <c r="D48" s="152">
        <f>'GROUND&amp;1st'!E48</f>
        <v>600</v>
      </c>
      <c r="E48" s="153">
        <f>'GROUND&amp;1st'!AZ48</f>
        <v>12</v>
      </c>
      <c r="F48" s="154" t="str">
        <f>'GROUND&amp;1st'!BA48</f>
        <v>φ</v>
      </c>
      <c r="G48" s="155">
        <f>'GROUND&amp;1st'!BB48</f>
        <v>14</v>
      </c>
      <c r="H48" s="156" t="str">
        <f>'GROUND&amp;1st'!BI48</f>
        <v>Use Φ10@110mm</v>
      </c>
      <c r="O48" s="216"/>
      <c r="P48" s="216"/>
      <c r="Q48" s="216"/>
      <c r="R48" s="216"/>
    </row>
    <row r="49" spans="1:18" s="223" customFormat="1" ht="17.25" thickTop="1" thickBot="1" x14ac:dyDescent="0.3">
      <c r="A49" s="217" t="str">
        <f>'GROUND&amp;1st'!A49</f>
        <v>Story 2</v>
      </c>
      <c r="B49" s="218" t="str">
        <f>'GROUND&amp;1st'!B49</f>
        <v>C161</v>
      </c>
      <c r="C49" s="217">
        <f>'GROUND&amp;1st'!D49</f>
        <v>200</v>
      </c>
      <c r="D49" s="217">
        <f>'GROUND&amp;1st'!E49</f>
        <v>500</v>
      </c>
      <c r="E49" s="219">
        <f>'GROUND&amp;1st'!AZ49</f>
        <v>8</v>
      </c>
      <c r="F49" s="220" t="str">
        <f>'GROUND&amp;1st'!BA49</f>
        <v>φ</v>
      </c>
      <c r="G49" s="221">
        <f>'GROUND&amp;1st'!BB49</f>
        <v>14</v>
      </c>
      <c r="H49" s="222" t="str">
        <f>'GROUND&amp;1st'!BI49</f>
        <v>Use Φ10@100mm</v>
      </c>
      <c r="O49" s="224"/>
      <c r="P49" s="224"/>
      <c r="Q49" s="224"/>
      <c r="R49" s="224"/>
    </row>
    <row r="50" spans="1:18" s="223" customFormat="1" ht="17.25" thickTop="1" thickBot="1" x14ac:dyDescent="0.3">
      <c r="A50" s="217" t="str">
        <f>'GROUND&amp;1st'!A50</f>
        <v>Story 2</v>
      </c>
      <c r="B50" s="218" t="str">
        <f>'GROUND&amp;1st'!B50</f>
        <v>C162</v>
      </c>
      <c r="C50" s="217">
        <f>'GROUND&amp;1st'!D50</f>
        <v>200</v>
      </c>
      <c r="D50" s="217">
        <f>'GROUND&amp;1st'!E50</f>
        <v>500</v>
      </c>
      <c r="E50" s="219">
        <f>'GROUND&amp;1st'!AZ50</f>
        <v>8</v>
      </c>
      <c r="F50" s="220" t="str">
        <f>'GROUND&amp;1st'!BA50</f>
        <v>φ</v>
      </c>
      <c r="G50" s="221">
        <f>'GROUND&amp;1st'!BB50</f>
        <v>14</v>
      </c>
      <c r="H50" s="222" t="str">
        <f>'GROUND&amp;1st'!BI50</f>
        <v>Use Φ10@100mm</v>
      </c>
      <c r="O50" s="224"/>
      <c r="P50" s="224"/>
      <c r="Q50" s="224"/>
      <c r="R50" s="224"/>
    </row>
    <row r="51" spans="1:18" s="223" customFormat="1" ht="17.25" thickTop="1" thickBot="1" x14ac:dyDescent="0.3">
      <c r="A51" s="217" t="str">
        <f>'GROUND&amp;1st'!A51</f>
        <v>Story 2</v>
      </c>
      <c r="B51" s="218" t="str">
        <f>'GROUND&amp;1st'!B51</f>
        <v>C163</v>
      </c>
      <c r="C51" s="217">
        <f>'GROUND&amp;1st'!D51</f>
        <v>200</v>
      </c>
      <c r="D51" s="217">
        <f>'GROUND&amp;1st'!E51</f>
        <v>500</v>
      </c>
      <c r="E51" s="219">
        <f>'GROUND&amp;1st'!AZ51</f>
        <v>8</v>
      </c>
      <c r="F51" s="220" t="str">
        <f>'GROUND&amp;1st'!BA51</f>
        <v>φ</v>
      </c>
      <c r="G51" s="221">
        <f>'GROUND&amp;1st'!BB51</f>
        <v>14</v>
      </c>
      <c r="H51" s="222" t="str">
        <f>'GROUND&amp;1st'!BI51</f>
        <v>Use Φ10@100mm</v>
      </c>
      <c r="O51" s="224"/>
      <c r="P51" s="224"/>
      <c r="Q51" s="224"/>
      <c r="R51" s="224"/>
    </row>
    <row r="52" spans="1:18" s="223" customFormat="1" ht="17.25" thickTop="1" thickBot="1" x14ac:dyDescent="0.3">
      <c r="A52" s="217" t="str">
        <f>'GROUND&amp;1st'!A52</f>
        <v>Story 2</v>
      </c>
      <c r="B52" s="218" t="str">
        <f>'GROUND&amp;1st'!B52</f>
        <v>C164</v>
      </c>
      <c r="C52" s="217">
        <f>'GROUND&amp;1st'!D52</f>
        <v>200</v>
      </c>
      <c r="D52" s="217">
        <f>'GROUND&amp;1st'!E52</f>
        <v>500</v>
      </c>
      <c r="E52" s="219">
        <f>'GROUND&amp;1st'!AZ52</f>
        <v>8</v>
      </c>
      <c r="F52" s="220" t="str">
        <f>'GROUND&amp;1st'!BA52</f>
        <v>φ</v>
      </c>
      <c r="G52" s="221">
        <f>'GROUND&amp;1st'!BB52</f>
        <v>14</v>
      </c>
      <c r="H52" s="222" t="str">
        <f>'GROUND&amp;1st'!BI52</f>
        <v>Use Φ10@100mm</v>
      </c>
      <c r="O52" s="224"/>
      <c r="P52" s="224"/>
      <c r="Q52" s="224"/>
      <c r="R52" s="224"/>
    </row>
    <row r="53" spans="1:18" s="223" customFormat="1" ht="17.25" thickTop="1" thickBot="1" x14ac:dyDescent="0.3">
      <c r="A53" s="217" t="str">
        <f>'GROUND&amp;1st'!A53</f>
        <v>Story 2</v>
      </c>
      <c r="B53" s="218" t="str">
        <f>'GROUND&amp;1st'!B53</f>
        <v>C165</v>
      </c>
      <c r="C53" s="217">
        <f>'GROUND&amp;1st'!D53</f>
        <v>200</v>
      </c>
      <c r="D53" s="217">
        <f>'GROUND&amp;1st'!E53</f>
        <v>500</v>
      </c>
      <c r="E53" s="219">
        <f>'GROUND&amp;1st'!AZ53</f>
        <v>8</v>
      </c>
      <c r="F53" s="220" t="str">
        <f>'GROUND&amp;1st'!BA53</f>
        <v>φ</v>
      </c>
      <c r="G53" s="221">
        <f>'GROUND&amp;1st'!BB53</f>
        <v>14</v>
      </c>
      <c r="H53" s="222" t="str">
        <f>'GROUND&amp;1st'!BI53</f>
        <v>Use Φ10@100mm</v>
      </c>
      <c r="O53" s="224"/>
      <c r="P53" s="224"/>
      <c r="Q53" s="224"/>
      <c r="R53" s="224"/>
    </row>
    <row r="54" spans="1:18" s="223" customFormat="1" ht="17.25" thickTop="1" thickBot="1" x14ac:dyDescent="0.3">
      <c r="A54" s="217" t="str">
        <f>'GROUND&amp;1st'!A54</f>
        <v>Story 2</v>
      </c>
      <c r="B54" s="218" t="str">
        <f>'GROUND&amp;1st'!B54</f>
        <v>C166</v>
      </c>
      <c r="C54" s="217">
        <f>'GROUND&amp;1st'!D54</f>
        <v>200</v>
      </c>
      <c r="D54" s="217">
        <f>'GROUND&amp;1st'!E54</f>
        <v>500</v>
      </c>
      <c r="E54" s="219">
        <f>'GROUND&amp;1st'!AZ54</f>
        <v>8</v>
      </c>
      <c r="F54" s="220" t="str">
        <f>'GROUND&amp;1st'!BA54</f>
        <v>φ</v>
      </c>
      <c r="G54" s="221">
        <f>'GROUND&amp;1st'!BB54</f>
        <v>14</v>
      </c>
      <c r="H54" s="222" t="str">
        <f>'GROUND&amp;1st'!BI54</f>
        <v>Use Φ10@100mm</v>
      </c>
      <c r="O54" s="224"/>
      <c r="P54" s="224"/>
      <c r="Q54" s="224"/>
      <c r="R54" s="224"/>
    </row>
    <row r="55" spans="1:18" s="247" customFormat="1" ht="17.25" thickTop="1" thickBot="1" x14ac:dyDescent="0.3">
      <c r="A55" s="96" t="str">
        <f>'GROUND&amp;1st'!A55</f>
        <v>Story 2</v>
      </c>
      <c r="B55" s="113" t="str">
        <f>'GROUND&amp;1st'!B55</f>
        <v>C167</v>
      </c>
      <c r="C55" s="96">
        <f>'GROUND&amp;1st'!D55</f>
        <v>300</v>
      </c>
      <c r="D55" s="96">
        <f>'GROUND&amp;1st'!E55</f>
        <v>500</v>
      </c>
      <c r="E55" s="105">
        <f>'GROUND&amp;1st'!AZ55</f>
        <v>10</v>
      </c>
      <c r="F55" s="106" t="str">
        <f>'GROUND&amp;1st'!BA55</f>
        <v>φ</v>
      </c>
      <c r="G55" s="107">
        <f>'GROUND&amp;1st'!BB55</f>
        <v>14</v>
      </c>
      <c r="H55" s="246" t="str">
        <f>'GROUND&amp;1st'!BI55</f>
        <v>Use Φ10@110mm</v>
      </c>
      <c r="O55" s="97"/>
      <c r="P55" s="97"/>
      <c r="Q55" s="97"/>
      <c r="R55" s="97"/>
    </row>
    <row r="56" spans="1:18" s="128" customFormat="1" ht="17.25" thickTop="1" thickBot="1" x14ac:dyDescent="0.3">
      <c r="A56" s="123"/>
      <c r="B56" s="234"/>
      <c r="C56" s="123"/>
      <c r="D56" s="123"/>
      <c r="E56" s="124"/>
      <c r="F56" s="125"/>
      <c r="G56" s="126"/>
      <c r="H56" s="127"/>
      <c r="O56" s="235"/>
      <c r="P56" s="235"/>
      <c r="Q56" s="235"/>
      <c r="R56" s="235"/>
    </row>
    <row r="57" spans="1:18" ht="17.25" thickTop="1" thickBot="1" x14ac:dyDescent="0.3">
      <c r="A57" s="42" t="str">
        <f>'GROUND&amp;1st'!A56</f>
        <v>Story 3</v>
      </c>
      <c r="B57" s="92" t="str">
        <f>'GROUND&amp;1st'!B56</f>
        <v>C374</v>
      </c>
      <c r="C57" s="42">
        <f>'GROUND&amp;1st'!D56</f>
        <v>200</v>
      </c>
      <c r="D57" s="42">
        <f>'GROUND&amp;1st'!E56</f>
        <v>400</v>
      </c>
      <c r="E57" s="47">
        <f>'GROUND&amp;1st'!AZ56</f>
        <v>6</v>
      </c>
      <c r="F57" s="48" t="str">
        <f>'GROUND&amp;1st'!BA56</f>
        <v>φ</v>
      </c>
      <c r="G57" s="49">
        <f>'GROUND&amp;1st'!BB56</f>
        <v>14</v>
      </c>
      <c r="H57" s="50" t="str">
        <f>'GROUND&amp;1st'!BI56</f>
        <v>Use Φ10@100mm</v>
      </c>
      <c r="I57" s="186" t="s">
        <v>217</v>
      </c>
      <c r="J57" s="189" t="s">
        <v>211</v>
      </c>
      <c r="K57" s="186" t="s">
        <v>208</v>
      </c>
      <c r="L57" s="186" t="s">
        <v>209</v>
      </c>
      <c r="M57" s="188" t="s">
        <v>210</v>
      </c>
      <c r="N57" s="188" t="s">
        <v>212</v>
      </c>
      <c r="O57" s="201" t="s">
        <v>213</v>
      </c>
      <c r="R57" s="201" t="s">
        <v>214</v>
      </c>
    </row>
    <row r="58" spans="1:18" ht="17.25" thickTop="1" thickBot="1" x14ac:dyDescent="0.3">
      <c r="A58" s="42" t="str">
        <f>'GROUND&amp;1st'!A57</f>
        <v>Story 4</v>
      </c>
      <c r="B58" s="92" t="str">
        <f>'GROUND&amp;1st'!B57</f>
        <v>C375</v>
      </c>
      <c r="C58" s="42">
        <f>'GROUND&amp;1st'!D57</f>
        <v>200</v>
      </c>
      <c r="D58" s="42">
        <f>'GROUND&amp;1st'!E57</f>
        <v>400</v>
      </c>
      <c r="E58" s="47">
        <f>'GROUND&amp;1st'!AZ57</f>
        <v>6</v>
      </c>
      <c r="F58" s="48" t="str">
        <f>'GROUND&amp;1st'!BA57</f>
        <v>φ</v>
      </c>
      <c r="G58" s="49">
        <f>'GROUND&amp;1st'!BB57</f>
        <v>14</v>
      </c>
      <c r="H58" s="50" t="str">
        <f>'GROUND&amp;1st'!BI57</f>
        <v>Use Φ10@100mm</v>
      </c>
      <c r="I58" s="184" t="s">
        <v>147</v>
      </c>
      <c r="J58" s="184" t="s">
        <v>207</v>
      </c>
      <c r="K58" t="str">
        <f>B57&amp;B58&amp;B59&amp;B60</f>
        <v>C374C375C376C377</v>
      </c>
      <c r="L58">
        <f>C57</f>
        <v>200</v>
      </c>
      <c r="M58">
        <f>D57</f>
        <v>400</v>
      </c>
      <c r="N58">
        <v>2.7</v>
      </c>
      <c r="O58" s="200">
        <f>E57</f>
        <v>6</v>
      </c>
      <c r="P58" s="200" t="str">
        <f t="shared" ref="P58:R58" si="12">F57</f>
        <v>φ</v>
      </c>
      <c r="Q58" s="200">
        <f t="shared" si="12"/>
        <v>14</v>
      </c>
      <c r="R58" s="200" t="str">
        <f t="shared" si="12"/>
        <v>Use Φ10@100mm</v>
      </c>
    </row>
    <row r="59" spans="1:18" ht="17.25" thickTop="1" thickBot="1" x14ac:dyDescent="0.3">
      <c r="A59" s="42" t="str">
        <f>'GROUND&amp;1st'!A58</f>
        <v>Story 5</v>
      </c>
      <c r="B59" s="92" t="str">
        <f>'GROUND&amp;1st'!B58</f>
        <v>C376</v>
      </c>
      <c r="C59" s="42">
        <f>'GROUND&amp;1st'!D58</f>
        <v>200</v>
      </c>
      <c r="D59" s="42">
        <f>'GROUND&amp;1st'!E58</f>
        <v>400</v>
      </c>
      <c r="E59" s="47">
        <f>'GROUND&amp;1st'!AZ58</f>
        <v>6</v>
      </c>
      <c r="F59" s="48" t="str">
        <f>'GROUND&amp;1st'!BA58</f>
        <v>φ</v>
      </c>
      <c r="G59" s="49">
        <f>'GROUND&amp;1st'!BB58</f>
        <v>14</v>
      </c>
      <c r="H59" s="50" t="str">
        <f>'GROUND&amp;1st'!BI58</f>
        <v>Use Φ10@100mm</v>
      </c>
    </row>
    <row r="60" spans="1:18" ht="17.25" thickTop="1" thickBot="1" x14ac:dyDescent="0.3">
      <c r="A60" s="42" t="str">
        <f>'GROUND&amp;1st'!A59</f>
        <v>Story 6</v>
      </c>
      <c r="B60" s="92" t="str">
        <f>'GROUND&amp;1st'!B59</f>
        <v>C377</v>
      </c>
      <c r="C60" s="42">
        <f>'GROUND&amp;1st'!D59</f>
        <v>200</v>
      </c>
      <c r="D60" s="42">
        <f>'GROUND&amp;1st'!E59</f>
        <v>400</v>
      </c>
      <c r="E60" s="47">
        <f>'GROUND&amp;1st'!AZ59</f>
        <v>6</v>
      </c>
      <c r="F60" s="48" t="str">
        <f>'GROUND&amp;1st'!BA59</f>
        <v>φ</v>
      </c>
      <c r="G60" s="49">
        <f>'GROUND&amp;1st'!BB59</f>
        <v>14</v>
      </c>
      <c r="H60" s="50" t="str">
        <f>'GROUND&amp;1st'!BI59</f>
        <v>Use Φ10@100mm</v>
      </c>
    </row>
    <row r="61" spans="1:18" ht="17.25" thickTop="1" thickBot="1" x14ac:dyDescent="0.3">
      <c r="A61" s="42"/>
      <c r="B61" s="92"/>
      <c r="C61" s="42"/>
      <c r="D61" s="42"/>
      <c r="E61" s="47"/>
      <c r="F61" s="48"/>
      <c r="G61" s="49"/>
      <c r="H61" s="50"/>
    </row>
    <row r="62" spans="1:18" ht="17.25" thickTop="1" thickBot="1" x14ac:dyDescent="0.3">
      <c r="A62" s="42"/>
      <c r="B62" s="92"/>
      <c r="C62" s="42"/>
      <c r="D62" s="42"/>
      <c r="E62" s="47"/>
      <c r="F62" s="48"/>
      <c r="G62" s="49"/>
      <c r="H62" s="50"/>
    </row>
    <row r="63" spans="1:18" ht="14.25" thickTop="1" x14ac:dyDescent="0.15"/>
  </sheetData>
  <mergeCells count="4">
    <mergeCell ref="C1:D1"/>
    <mergeCell ref="E1:E2"/>
    <mergeCell ref="H1:H2"/>
    <mergeCell ref="B1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3:Q83"/>
  <sheetViews>
    <sheetView topLeftCell="A43" workbookViewId="0">
      <selection activeCell="I56" sqref="I56"/>
    </sheetView>
  </sheetViews>
  <sheetFormatPr defaultRowHeight="13.5" x14ac:dyDescent="0.15"/>
  <cols>
    <col min="5" max="5" width="8.94921875" customWidth="1"/>
    <col min="6" max="6" width="2.6953125" customWidth="1"/>
    <col min="7" max="7" width="11.3984375" bestFit="1" customWidth="1"/>
    <col min="8" max="8" width="17.16015625" bestFit="1" customWidth="1"/>
    <col min="9" max="9" width="23.78125" style="200" bestFit="1" customWidth="1"/>
    <col min="10" max="11" width="6.49609375" bestFit="1" customWidth="1"/>
    <col min="12" max="12" width="4.77734375" bestFit="1" customWidth="1"/>
    <col min="13" max="13" width="6.49609375" customWidth="1"/>
    <col min="14" max="14" width="2.328125" bestFit="1" customWidth="1"/>
    <col min="15" max="15" width="6.25" customWidth="1"/>
    <col min="16" max="16" width="16.42578125" customWidth="1"/>
    <col min="17" max="17" width="2.44921875" customWidth="1"/>
  </cols>
  <sheetData>
    <row r="3" spans="6:17" x14ac:dyDescent="0.15">
      <c r="F3" s="247"/>
      <c r="G3" s="254"/>
      <c r="H3" s="254"/>
      <c r="I3" s="255"/>
      <c r="J3" s="254"/>
      <c r="K3" s="254"/>
      <c r="L3" s="254"/>
      <c r="M3" s="254"/>
      <c r="N3" s="254"/>
      <c r="O3" s="254"/>
      <c r="P3" s="254"/>
      <c r="Q3" s="136"/>
    </row>
    <row r="4" spans="6:17" x14ac:dyDescent="0.15">
      <c r="F4" s="129"/>
      <c r="G4" s="250" t="s">
        <v>217</v>
      </c>
      <c r="H4" s="250" t="s">
        <v>226</v>
      </c>
      <c r="I4" s="250" t="s">
        <v>211</v>
      </c>
      <c r="J4" s="250" t="s">
        <v>209</v>
      </c>
      <c r="K4" s="250" t="s">
        <v>210</v>
      </c>
      <c r="L4" s="250" t="s">
        <v>212</v>
      </c>
      <c r="M4" s="344" t="s">
        <v>235</v>
      </c>
      <c r="N4" s="345"/>
      <c r="O4" s="346"/>
      <c r="P4" s="250" t="s">
        <v>214</v>
      </c>
      <c r="Q4" s="256"/>
    </row>
    <row r="5" spans="6:17" ht="58.5" customHeight="1" x14ac:dyDescent="0.15">
      <c r="F5" s="129"/>
      <c r="G5" s="353" t="s">
        <v>218</v>
      </c>
      <c r="H5" s="251" t="s">
        <v>219</v>
      </c>
      <c r="I5" s="211" t="s">
        <v>224</v>
      </c>
      <c r="J5" s="203">
        <v>300</v>
      </c>
      <c r="K5" s="203">
        <v>500</v>
      </c>
      <c r="L5" s="203">
        <v>2</v>
      </c>
      <c r="M5" s="203">
        <v>10</v>
      </c>
      <c r="N5" s="203" t="s">
        <v>65</v>
      </c>
      <c r="O5" s="203">
        <v>14</v>
      </c>
      <c r="P5" s="203" t="s">
        <v>220</v>
      </c>
      <c r="Q5" s="256"/>
    </row>
    <row r="6" spans="6:17" x14ac:dyDescent="0.15">
      <c r="F6" s="129"/>
      <c r="G6" s="354"/>
      <c r="H6" s="252"/>
      <c r="I6" s="253"/>
      <c r="J6" s="252"/>
      <c r="K6" s="252"/>
      <c r="L6" s="252"/>
      <c r="M6" s="252"/>
      <c r="N6" s="252"/>
      <c r="O6" s="252"/>
      <c r="P6" s="252"/>
      <c r="Q6" s="256"/>
    </row>
    <row r="7" spans="6:17" ht="61.5" customHeight="1" x14ac:dyDescent="0.15">
      <c r="F7" s="129"/>
      <c r="G7" s="354"/>
      <c r="H7" s="251" t="s">
        <v>221</v>
      </c>
      <c r="I7" s="211" t="s">
        <v>225</v>
      </c>
      <c r="J7" s="203">
        <v>200</v>
      </c>
      <c r="K7" s="203">
        <v>500</v>
      </c>
      <c r="L7" s="203">
        <v>2</v>
      </c>
      <c r="M7" s="203">
        <v>8</v>
      </c>
      <c r="N7" s="203" t="s">
        <v>65</v>
      </c>
      <c r="O7" s="203">
        <v>14</v>
      </c>
      <c r="P7" s="203" t="s">
        <v>222</v>
      </c>
      <c r="Q7" s="256"/>
    </row>
    <row r="8" spans="6:17" x14ac:dyDescent="0.15">
      <c r="F8" s="129"/>
      <c r="G8" s="354"/>
      <c r="H8" s="252"/>
      <c r="I8" s="253"/>
      <c r="J8" s="252"/>
      <c r="K8" s="252"/>
      <c r="L8" s="252"/>
      <c r="M8" s="252"/>
      <c r="N8" s="252"/>
      <c r="O8" s="252"/>
      <c r="P8" s="252"/>
      <c r="Q8" s="256"/>
    </row>
    <row r="9" spans="6:17" ht="46.5" customHeight="1" x14ac:dyDescent="0.15">
      <c r="F9" s="129"/>
      <c r="G9" s="354"/>
      <c r="H9" s="251" t="s">
        <v>223</v>
      </c>
      <c r="I9" s="203" t="s">
        <v>227</v>
      </c>
      <c r="J9" s="203">
        <v>300</v>
      </c>
      <c r="K9" s="203">
        <v>600</v>
      </c>
      <c r="L9" s="203">
        <v>2</v>
      </c>
      <c r="M9" s="203">
        <v>12</v>
      </c>
      <c r="N9" s="203" t="s">
        <v>65</v>
      </c>
      <c r="O9" s="203">
        <v>14</v>
      </c>
      <c r="P9" s="203" t="s">
        <v>220</v>
      </c>
      <c r="Q9" s="256"/>
    </row>
    <row r="10" spans="6:17" ht="12.75" customHeight="1" x14ac:dyDescent="0.15">
      <c r="F10" s="129"/>
      <c r="G10" s="356"/>
      <c r="H10" s="252"/>
      <c r="I10" s="252"/>
      <c r="J10" s="252"/>
      <c r="K10" s="252"/>
      <c r="L10" s="252"/>
      <c r="M10" s="252"/>
      <c r="N10" s="252"/>
      <c r="O10" s="252"/>
      <c r="P10" s="252"/>
      <c r="Q10" s="256"/>
    </row>
    <row r="14" spans="6:17" ht="14.25" thickBot="1" x14ac:dyDescent="0.2"/>
    <row r="15" spans="6:17" x14ac:dyDescent="0.15">
      <c r="G15" s="204" t="s">
        <v>217</v>
      </c>
      <c r="H15" s="205" t="s">
        <v>226</v>
      </c>
      <c r="I15" s="205" t="s">
        <v>208</v>
      </c>
      <c r="J15" s="205" t="s">
        <v>209</v>
      </c>
      <c r="K15" s="205" t="s">
        <v>210</v>
      </c>
      <c r="L15" s="205" t="s">
        <v>212</v>
      </c>
      <c r="M15" s="205" t="s">
        <v>213</v>
      </c>
      <c r="N15" s="205"/>
      <c r="O15" s="205"/>
      <c r="P15" s="206" t="s">
        <v>214</v>
      </c>
    </row>
    <row r="16" spans="6:17" ht="15" customHeight="1" x14ac:dyDescent="0.15">
      <c r="G16" s="350" t="s">
        <v>142</v>
      </c>
      <c r="H16" s="203"/>
      <c r="I16" s="203"/>
      <c r="J16" s="203"/>
      <c r="K16" s="203"/>
      <c r="L16" s="203"/>
      <c r="M16" s="203"/>
      <c r="N16" s="203"/>
      <c r="O16" s="203"/>
      <c r="P16" s="207"/>
    </row>
    <row r="17" spans="7:16" ht="26.25" x14ac:dyDescent="0.15">
      <c r="G17" s="351"/>
      <c r="H17" s="203" t="s">
        <v>219</v>
      </c>
      <c r="I17" s="211" t="s">
        <v>228</v>
      </c>
      <c r="J17" s="203">
        <v>300</v>
      </c>
      <c r="K17" s="203">
        <v>500</v>
      </c>
      <c r="L17" s="203">
        <v>3.3</v>
      </c>
      <c r="M17" s="203">
        <v>10</v>
      </c>
      <c r="N17" s="203" t="s">
        <v>65</v>
      </c>
      <c r="O17" s="203">
        <v>14</v>
      </c>
      <c r="P17" s="207" t="s">
        <v>220</v>
      </c>
    </row>
    <row r="18" spans="7:16" x14ac:dyDescent="0.15">
      <c r="G18" s="351"/>
      <c r="H18" s="203"/>
      <c r="I18" s="203"/>
      <c r="J18" s="203"/>
      <c r="K18" s="203"/>
      <c r="L18" s="203"/>
      <c r="M18" s="203"/>
      <c r="N18" s="203"/>
      <c r="O18" s="203"/>
      <c r="P18" s="207"/>
    </row>
    <row r="19" spans="7:16" ht="26.25" x14ac:dyDescent="0.15">
      <c r="G19" s="351"/>
      <c r="H19" s="203" t="s">
        <v>221</v>
      </c>
      <c r="I19" s="211" t="s">
        <v>229</v>
      </c>
      <c r="J19" s="203">
        <v>200</v>
      </c>
      <c r="K19" s="203">
        <v>500</v>
      </c>
      <c r="L19" s="203">
        <v>3.3</v>
      </c>
      <c r="M19" s="203">
        <v>8</v>
      </c>
      <c r="N19" s="203" t="s">
        <v>65</v>
      </c>
      <c r="O19" s="203">
        <v>14</v>
      </c>
      <c r="P19" s="207" t="s">
        <v>222</v>
      </c>
    </row>
    <row r="20" spans="7:16" x14ac:dyDescent="0.15">
      <c r="G20" s="351"/>
      <c r="H20" s="203"/>
      <c r="I20" s="203"/>
      <c r="J20" s="203"/>
      <c r="K20" s="203"/>
      <c r="L20" s="203"/>
      <c r="M20" s="203"/>
      <c r="N20" s="203"/>
      <c r="O20" s="203"/>
      <c r="P20" s="207"/>
    </row>
    <row r="21" spans="7:16" x14ac:dyDescent="0.15">
      <c r="G21" s="351"/>
      <c r="H21" s="203" t="s">
        <v>223</v>
      </c>
      <c r="I21" s="203" t="s">
        <v>230</v>
      </c>
      <c r="J21" s="203">
        <v>300</v>
      </c>
      <c r="K21" s="203">
        <v>600</v>
      </c>
      <c r="L21" s="203">
        <v>3.3</v>
      </c>
      <c r="M21" s="203">
        <v>12</v>
      </c>
      <c r="N21" s="203" t="s">
        <v>65</v>
      </c>
      <c r="O21" s="203">
        <v>14</v>
      </c>
      <c r="P21" s="207" t="s">
        <v>220</v>
      </c>
    </row>
    <row r="22" spans="7:16" ht="14.25" thickBot="1" x14ac:dyDescent="0.2">
      <c r="G22" s="352"/>
      <c r="H22" s="209"/>
      <c r="I22" s="209"/>
      <c r="J22" s="209"/>
      <c r="K22" s="209"/>
      <c r="L22" s="209"/>
      <c r="M22" s="209"/>
      <c r="N22" s="209"/>
      <c r="O22" s="209"/>
      <c r="P22" s="210"/>
    </row>
    <row r="27" spans="7:16" ht="14.25" thickBot="1" x14ac:dyDescent="0.2"/>
    <row r="28" spans="7:16" x14ac:dyDescent="0.15">
      <c r="G28" s="204" t="s">
        <v>217</v>
      </c>
      <c r="H28" s="205" t="s">
        <v>226</v>
      </c>
      <c r="I28" s="205" t="s">
        <v>208</v>
      </c>
      <c r="J28" s="205" t="s">
        <v>209</v>
      </c>
      <c r="K28" s="205" t="s">
        <v>210</v>
      </c>
      <c r="L28" s="205" t="s">
        <v>212</v>
      </c>
      <c r="M28" s="205" t="s">
        <v>213</v>
      </c>
      <c r="N28" s="205"/>
      <c r="O28" s="205"/>
      <c r="P28" s="206" t="s">
        <v>214</v>
      </c>
    </row>
    <row r="29" spans="7:16" x14ac:dyDescent="0.15">
      <c r="G29" s="350" t="s">
        <v>145</v>
      </c>
      <c r="H29" s="203"/>
      <c r="I29" s="203"/>
      <c r="J29" s="203"/>
      <c r="K29" s="203"/>
      <c r="L29" s="203"/>
      <c r="M29" s="203"/>
      <c r="N29" s="203"/>
      <c r="O29" s="203"/>
      <c r="P29" s="207"/>
    </row>
    <row r="30" spans="7:16" ht="26.25" x14ac:dyDescent="0.15">
      <c r="G30" s="351"/>
      <c r="H30" s="203" t="s">
        <v>219</v>
      </c>
      <c r="I30" s="211" t="s">
        <v>231</v>
      </c>
      <c r="J30" s="203">
        <v>300</v>
      </c>
      <c r="K30" s="203">
        <v>500</v>
      </c>
      <c r="L30" s="203">
        <v>3.3</v>
      </c>
      <c r="M30" s="203">
        <v>10</v>
      </c>
      <c r="N30" s="203" t="s">
        <v>65</v>
      </c>
      <c r="O30" s="203">
        <v>14</v>
      </c>
      <c r="P30" s="207" t="s">
        <v>220</v>
      </c>
    </row>
    <row r="31" spans="7:16" x14ac:dyDescent="0.15">
      <c r="G31" s="351"/>
      <c r="H31" s="203"/>
      <c r="I31" s="203"/>
      <c r="J31" s="203"/>
      <c r="K31" s="203"/>
      <c r="L31" s="203"/>
      <c r="M31" s="203"/>
      <c r="N31" s="203"/>
      <c r="O31" s="203"/>
      <c r="P31" s="207"/>
    </row>
    <row r="32" spans="7:16" x14ac:dyDescent="0.15">
      <c r="G32" s="351"/>
      <c r="H32" s="203" t="s">
        <v>221</v>
      </c>
      <c r="I32" s="211" t="s">
        <v>232</v>
      </c>
      <c r="J32" s="203">
        <v>300</v>
      </c>
      <c r="K32" s="203">
        <v>600</v>
      </c>
      <c r="L32" s="203">
        <v>3.3</v>
      </c>
      <c r="M32" s="203">
        <v>12</v>
      </c>
      <c r="N32" s="203" t="s">
        <v>65</v>
      </c>
      <c r="O32" s="203">
        <v>14</v>
      </c>
      <c r="P32" s="207" t="s">
        <v>220</v>
      </c>
    </row>
    <row r="33" spans="6:17" x14ac:dyDescent="0.15">
      <c r="G33" s="351"/>
      <c r="H33" s="203"/>
      <c r="I33" s="203"/>
      <c r="J33" s="203"/>
      <c r="K33" s="203"/>
      <c r="L33" s="203"/>
      <c r="M33" s="203"/>
      <c r="N33" s="203"/>
      <c r="O33" s="203"/>
      <c r="P33" s="207"/>
    </row>
    <row r="34" spans="6:17" ht="26.25" x14ac:dyDescent="0.15">
      <c r="G34" s="351"/>
      <c r="H34" s="203" t="s">
        <v>223</v>
      </c>
      <c r="I34" s="211" t="s">
        <v>233</v>
      </c>
      <c r="J34" s="203">
        <v>200</v>
      </c>
      <c r="K34" s="203">
        <v>500</v>
      </c>
      <c r="L34" s="203">
        <v>3.3</v>
      </c>
      <c r="M34" s="203">
        <v>8</v>
      </c>
      <c r="N34" s="203" t="s">
        <v>65</v>
      </c>
      <c r="O34" s="203">
        <v>14</v>
      </c>
      <c r="P34" s="207" t="s">
        <v>222</v>
      </c>
    </row>
    <row r="35" spans="6:17" ht="14.25" thickBot="1" x14ac:dyDescent="0.2">
      <c r="G35" s="352"/>
      <c r="H35" s="209"/>
      <c r="I35" s="209"/>
      <c r="J35" s="209"/>
      <c r="K35" s="209"/>
      <c r="L35" s="209"/>
      <c r="M35" s="209"/>
      <c r="N35" s="209"/>
      <c r="O35" s="209"/>
      <c r="P35" s="210"/>
    </row>
    <row r="37" spans="6:17" ht="14.25" thickBot="1" x14ac:dyDescent="0.2"/>
    <row r="38" spans="6:17" x14ac:dyDescent="0.15">
      <c r="G38" s="204" t="s">
        <v>217</v>
      </c>
      <c r="H38" s="205" t="s">
        <v>226</v>
      </c>
      <c r="I38" s="205" t="s">
        <v>208</v>
      </c>
      <c r="J38" s="205" t="s">
        <v>209</v>
      </c>
      <c r="K38" s="205" t="s">
        <v>210</v>
      </c>
      <c r="L38" s="205" t="s">
        <v>212</v>
      </c>
      <c r="M38" s="205" t="s">
        <v>213</v>
      </c>
      <c r="N38" s="205"/>
      <c r="O38" s="205"/>
      <c r="P38" s="206" t="s">
        <v>214</v>
      </c>
    </row>
    <row r="39" spans="6:17" ht="28.5" customHeight="1" thickBot="1" x14ac:dyDescent="0.2">
      <c r="G39" s="208" t="s">
        <v>147</v>
      </c>
      <c r="H39" s="209" t="s">
        <v>219</v>
      </c>
      <c r="I39" s="249" t="s">
        <v>234</v>
      </c>
      <c r="J39" s="209">
        <v>200</v>
      </c>
      <c r="K39" s="209">
        <v>400</v>
      </c>
      <c r="L39" s="209">
        <v>2.7</v>
      </c>
      <c r="M39" s="209">
        <v>6</v>
      </c>
      <c r="N39" s="209" t="s">
        <v>65</v>
      </c>
      <c r="O39" s="209">
        <v>14</v>
      </c>
      <c r="P39" s="210" t="s">
        <v>222</v>
      </c>
    </row>
    <row r="43" spans="6:17" ht="14.25" thickBot="1" x14ac:dyDescent="0.2"/>
    <row r="44" spans="6:17" x14ac:dyDescent="0.15">
      <c r="F44" s="257"/>
      <c r="G44" s="258"/>
      <c r="H44" s="258"/>
      <c r="I44" s="259"/>
      <c r="J44" s="258"/>
      <c r="K44" s="258"/>
      <c r="L44" s="258"/>
      <c r="M44" s="258"/>
      <c r="N44" s="258"/>
      <c r="O44" s="258"/>
      <c r="P44" s="258"/>
      <c r="Q44" s="260"/>
    </row>
    <row r="45" spans="6:17" x14ac:dyDescent="0.15">
      <c r="F45" s="261"/>
      <c r="G45" s="250" t="s">
        <v>217</v>
      </c>
      <c r="H45" s="250" t="s">
        <v>226</v>
      </c>
      <c r="I45" s="250" t="s">
        <v>211</v>
      </c>
      <c r="J45" s="250" t="s">
        <v>209</v>
      </c>
      <c r="K45" s="250" t="s">
        <v>210</v>
      </c>
      <c r="L45" s="250" t="s">
        <v>212</v>
      </c>
      <c r="M45" s="344" t="s">
        <v>235</v>
      </c>
      <c r="N45" s="345"/>
      <c r="O45" s="346"/>
      <c r="P45" s="250" t="s">
        <v>214</v>
      </c>
      <c r="Q45" s="262"/>
    </row>
    <row r="46" spans="6:17" ht="30" customHeight="1" x14ac:dyDescent="0.15">
      <c r="F46" s="261"/>
      <c r="G46" s="353" t="s">
        <v>218</v>
      </c>
      <c r="H46" s="251" t="s">
        <v>219</v>
      </c>
      <c r="I46" s="211" t="s">
        <v>224</v>
      </c>
      <c r="J46" s="203">
        <v>300</v>
      </c>
      <c r="K46" s="203">
        <v>500</v>
      </c>
      <c r="L46" s="203">
        <v>2</v>
      </c>
      <c r="M46" s="203">
        <v>10</v>
      </c>
      <c r="N46" s="203" t="s">
        <v>65</v>
      </c>
      <c r="O46" s="203">
        <v>14</v>
      </c>
      <c r="P46" s="203" t="s">
        <v>220</v>
      </c>
      <c r="Q46" s="262"/>
    </row>
    <row r="47" spans="6:17" x14ac:dyDescent="0.15">
      <c r="F47" s="261"/>
      <c r="G47" s="354"/>
      <c r="H47" s="252"/>
      <c r="I47" s="253"/>
      <c r="J47" s="252"/>
      <c r="K47" s="252"/>
      <c r="L47" s="252"/>
      <c r="M47" s="252"/>
      <c r="N47" s="252"/>
      <c r="O47" s="252"/>
      <c r="P47" s="252"/>
      <c r="Q47" s="262"/>
    </row>
    <row r="48" spans="6:17" ht="26.25" x14ac:dyDescent="0.15">
      <c r="F48" s="261"/>
      <c r="G48" s="354"/>
      <c r="H48" s="251" t="s">
        <v>221</v>
      </c>
      <c r="I48" s="211" t="s">
        <v>225</v>
      </c>
      <c r="J48" s="203">
        <v>200</v>
      </c>
      <c r="K48" s="203">
        <v>500</v>
      </c>
      <c r="L48" s="203">
        <v>2</v>
      </c>
      <c r="M48" s="203">
        <v>8</v>
      </c>
      <c r="N48" s="203" t="s">
        <v>65</v>
      </c>
      <c r="O48" s="203">
        <v>14</v>
      </c>
      <c r="P48" s="203" t="s">
        <v>222</v>
      </c>
      <c r="Q48" s="262"/>
    </row>
    <row r="49" spans="6:17" x14ac:dyDescent="0.15">
      <c r="F49" s="261"/>
      <c r="G49" s="354"/>
      <c r="H49" s="252"/>
      <c r="I49" s="253"/>
      <c r="J49" s="252"/>
      <c r="K49" s="252"/>
      <c r="L49" s="252"/>
      <c r="M49" s="252"/>
      <c r="N49" s="252"/>
      <c r="O49" s="252"/>
      <c r="P49" s="252"/>
      <c r="Q49" s="262"/>
    </row>
    <row r="50" spans="6:17" x14ac:dyDescent="0.15">
      <c r="F50" s="261"/>
      <c r="G50" s="354"/>
      <c r="H50" s="251" t="s">
        <v>223</v>
      </c>
      <c r="I50" s="203" t="s">
        <v>227</v>
      </c>
      <c r="J50" s="203">
        <v>300</v>
      </c>
      <c r="K50" s="203">
        <v>600</v>
      </c>
      <c r="L50" s="203">
        <v>2</v>
      </c>
      <c r="M50" s="203">
        <v>12</v>
      </c>
      <c r="N50" s="203" t="s">
        <v>65</v>
      </c>
      <c r="O50" s="203">
        <v>14</v>
      </c>
      <c r="P50" s="203" t="s">
        <v>220</v>
      </c>
      <c r="Q50" s="262"/>
    </row>
    <row r="51" spans="6:17" ht="14.25" thickBot="1" x14ac:dyDescent="0.2">
      <c r="F51" s="263"/>
      <c r="G51" s="355"/>
      <c r="H51" s="264"/>
      <c r="I51" s="264"/>
      <c r="J51" s="264"/>
      <c r="K51" s="264"/>
      <c r="L51" s="264"/>
      <c r="M51" s="264"/>
      <c r="N51" s="264"/>
      <c r="O51" s="264"/>
      <c r="P51" s="264"/>
      <c r="Q51" s="265"/>
    </row>
    <row r="54" spans="6:17" ht="14.25" thickBot="1" x14ac:dyDescent="0.2"/>
    <row r="55" spans="6:17" x14ac:dyDescent="0.15">
      <c r="F55" s="257"/>
      <c r="G55" s="258"/>
      <c r="H55" s="258"/>
      <c r="I55" s="259"/>
      <c r="J55" s="258"/>
      <c r="K55" s="258"/>
      <c r="L55" s="258"/>
      <c r="M55" s="258"/>
      <c r="N55" s="258"/>
      <c r="O55" s="258"/>
      <c r="P55" s="258"/>
      <c r="Q55" s="260"/>
    </row>
    <row r="56" spans="6:17" ht="15" customHeight="1" x14ac:dyDescent="0.15">
      <c r="F56" s="261"/>
      <c r="G56" s="250" t="s">
        <v>217</v>
      </c>
      <c r="H56" s="250" t="s">
        <v>226</v>
      </c>
      <c r="I56" s="250" t="s">
        <v>208</v>
      </c>
      <c r="J56" s="250" t="s">
        <v>209</v>
      </c>
      <c r="K56" s="250" t="s">
        <v>210</v>
      </c>
      <c r="L56" s="250" t="s">
        <v>212</v>
      </c>
      <c r="M56" s="344" t="s">
        <v>213</v>
      </c>
      <c r="N56" s="345"/>
      <c r="O56" s="346"/>
      <c r="P56" s="250" t="s">
        <v>214</v>
      </c>
      <c r="Q56" s="262"/>
    </row>
    <row r="57" spans="6:17" ht="30" customHeight="1" x14ac:dyDescent="0.15">
      <c r="F57" s="261"/>
      <c r="G57" s="347" t="s">
        <v>142</v>
      </c>
      <c r="H57" s="251" t="s">
        <v>219</v>
      </c>
      <c r="I57" s="211" t="s">
        <v>228</v>
      </c>
      <c r="J57" s="203">
        <v>300</v>
      </c>
      <c r="K57" s="203">
        <v>500</v>
      </c>
      <c r="L57" s="203">
        <v>3.3</v>
      </c>
      <c r="M57" s="203">
        <v>10</v>
      </c>
      <c r="N57" s="203" t="s">
        <v>65</v>
      </c>
      <c r="O57" s="203">
        <v>14</v>
      </c>
      <c r="P57" s="203" t="s">
        <v>220</v>
      </c>
      <c r="Q57" s="262"/>
    </row>
    <row r="58" spans="6:17" x14ac:dyDescent="0.15">
      <c r="F58" s="261"/>
      <c r="G58" s="348"/>
      <c r="H58" s="252"/>
      <c r="I58" s="253"/>
      <c r="J58" s="252"/>
      <c r="K58" s="252"/>
      <c r="L58" s="252"/>
      <c r="M58" s="252"/>
      <c r="N58" s="252"/>
      <c r="O58" s="252"/>
      <c r="P58" s="252"/>
      <c r="Q58" s="262"/>
    </row>
    <row r="59" spans="6:17" ht="26.25" x14ac:dyDescent="0.15">
      <c r="F59" s="261"/>
      <c r="G59" s="348"/>
      <c r="H59" s="251" t="s">
        <v>221</v>
      </c>
      <c r="I59" s="211" t="s">
        <v>229</v>
      </c>
      <c r="J59" s="203">
        <v>200</v>
      </c>
      <c r="K59" s="203">
        <v>500</v>
      </c>
      <c r="L59" s="203">
        <v>3.3</v>
      </c>
      <c r="M59" s="203">
        <v>8</v>
      </c>
      <c r="N59" s="203" t="s">
        <v>65</v>
      </c>
      <c r="O59" s="203">
        <v>14</v>
      </c>
      <c r="P59" s="203" t="s">
        <v>222</v>
      </c>
      <c r="Q59" s="262"/>
    </row>
    <row r="60" spans="6:17" x14ac:dyDescent="0.15">
      <c r="F60" s="261"/>
      <c r="G60" s="348"/>
      <c r="H60" s="252"/>
      <c r="I60" s="253"/>
      <c r="J60" s="252"/>
      <c r="K60" s="252"/>
      <c r="L60" s="252"/>
      <c r="M60" s="252"/>
      <c r="N60" s="252"/>
      <c r="O60" s="252"/>
      <c r="P60" s="252"/>
      <c r="Q60" s="262"/>
    </row>
    <row r="61" spans="6:17" x14ac:dyDescent="0.15">
      <c r="F61" s="261"/>
      <c r="G61" s="348"/>
      <c r="H61" s="251" t="s">
        <v>223</v>
      </c>
      <c r="I61" s="203" t="s">
        <v>230</v>
      </c>
      <c r="J61" s="203">
        <v>300</v>
      </c>
      <c r="K61" s="203">
        <v>600</v>
      </c>
      <c r="L61" s="203">
        <v>3.3</v>
      </c>
      <c r="M61" s="203">
        <v>12</v>
      </c>
      <c r="N61" s="203" t="s">
        <v>65</v>
      </c>
      <c r="O61" s="203">
        <v>14</v>
      </c>
      <c r="P61" s="203" t="s">
        <v>220</v>
      </c>
      <c r="Q61" s="262"/>
    </row>
    <row r="62" spans="6:17" ht="14.25" thickBot="1" x14ac:dyDescent="0.2">
      <c r="F62" s="263"/>
      <c r="G62" s="349"/>
      <c r="H62" s="264"/>
      <c r="I62" s="264"/>
      <c r="J62" s="264"/>
      <c r="K62" s="264"/>
      <c r="L62" s="264"/>
      <c r="M62" s="264"/>
      <c r="N62" s="264"/>
      <c r="O62" s="264"/>
      <c r="P62" s="264"/>
      <c r="Q62" s="265"/>
    </row>
    <row r="64" spans="6:17" ht="14.25" thickBot="1" x14ac:dyDescent="0.2"/>
    <row r="65" spans="6:17" x14ac:dyDescent="0.15">
      <c r="F65" s="257"/>
      <c r="G65" s="258"/>
      <c r="H65" s="258"/>
      <c r="I65" s="259"/>
      <c r="J65" s="258"/>
      <c r="K65" s="258"/>
      <c r="L65" s="258"/>
      <c r="M65" s="258"/>
      <c r="N65" s="258"/>
      <c r="O65" s="258"/>
      <c r="P65" s="258"/>
      <c r="Q65" s="260"/>
    </row>
    <row r="66" spans="6:17" x14ac:dyDescent="0.15">
      <c r="F66" s="261"/>
      <c r="G66" s="250" t="s">
        <v>217</v>
      </c>
      <c r="H66" s="250" t="s">
        <v>226</v>
      </c>
      <c r="I66" s="250" t="s">
        <v>208</v>
      </c>
      <c r="J66" s="250" t="s">
        <v>209</v>
      </c>
      <c r="K66" s="250" t="s">
        <v>210</v>
      </c>
      <c r="L66" s="250" t="s">
        <v>212</v>
      </c>
      <c r="M66" s="344" t="s">
        <v>235</v>
      </c>
      <c r="N66" s="345"/>
      <c r="O66" s="346"/>
      <c r="P66" s="250" t="s">
        <v>214</v>
      </c>
      <c r="Q66" s="262"/>
    </row>
    <row r="67" spans="6:17" ht="26.25" x14ac:dyDescent="0.15">
      <c r="F67" s="261"/>
      <c r="G67" s="353" t="s">
        <v>145</v>
      </c>
      <c r="H67" s="251" t="s">
        <v>219</v>
      </c>
      <c r="I67" s="211" t="s">
        <v>231</v>
      </c>
      <c r="J67" s="203">
        <v>300</v>
      </c>
      <c r="K67" s="203">
        <v>500</v>
      </c>
      <c r="L67" s="203">
        <v>3.3</v>
      </c>
      <c r="M67" s="203">
        <v>10</v>
      </c>
      <c r="N67" s="203" t="s">
        <v>65</v>
      </c>
      <c r="O67" s="203">
        <v>14</v>
      </c>
      <c r="P67" s="203" t="s">
        <v>220</v>
      </c>
      <c r="Q67" s="262"/>
    </row>
    <row r="68" spans="6:17" x14ac:dyDescent="0.15">
      <c r="F68" s="261"/>
      <c r="G68" s="354"/>
      <c r="H68" s="252"/>
      <c r="I68" s="253"/>
      <c r="J68" s="252"/>
      <c r="K68" s="252"/>
      <c r="L68" s="252"/>
      <c r="M68" s="252"/>
      <c r="N68" s="252"/>
      <c r="O68" s="252"/>
      <c r="P68" s="252"/>
      <c r="Q68" s="262"/>
    </row>
    <row r="69" spans="6:17" x14ac:dyDescent="0.15">
      <c r="F69" s="261"/>
      <c r="G69" s="354"/>
      <c r="H69" s="251" t="s">
        <v>221</v>
      </c>
      <c r="I69" s="211" t="s">
        <v>232</v>
      </c>
      <c r="J69" s="203">
        <v>300</v>
      </c>
      <c r="K69" s="203">
        <v>600</v>
      </c>
      <c r="L69" s="203">
        <v>3.3</v>
      </c>
      <c r="M69" s="203">
        <v>12</v>
      </c>
      <c r="N69" s="203" t="s">
        <v>65</v>
      </c>
      <c r="O69" s="203">
        <v>14</v>
      </c>
      <c r="P69" s="203" t="s">
        <v>220</v>
      </c>
      <c r="Q69" s="262"/>
    </row>
    <row r="70" spans="6:17" x14ac:dyDescent="0.15">
      <c r="F70" s="261"/>
      <c r="G70" s="354"/>
      <c r="H70" s="252"/>
      <c r="I70" s="253"/>
      <c r="J70" s="252"/>
      <c r="K70" s="252"/>
      <c r="L70" s="252"/>
      <c r="M70" s="252"/>
      <c r="N70" s="252"/>
      <c r="O70" s="252"/>
      <c r="P70" s="252"/>
      <c r="Q70" s="262"/>
    </row>
    <row r="71" spans="6:17" ht="26.25" x14ac:dyDescent="0.15">
      <c r="F71" s="261"/>
      <c r="G71" s="354"/>
      <c r="H71" s="251" t="s">
        <v>223</v>
      </c>
      <c r="I71" s="211" t="s">
        <v>233</v>
      </c>
      <c r="J71" s="203">
        <v>200</v>
      </c>
      <c r="K71" s="203">
        <v>500</v>
      </c>
      <c r="L71" s="203">
        <v>3.3</v>
      </c>
      <c r="M71" s="203">
        <v>8</v>
      </c>
      <c r="N71" s="203" t="s">
        <v>65</v>
      </c>
      <c r="O71" s="203">
        <v>14</v>
      </c>
      <c r="P71" s="203" t="s">
        <v>222</v>
      </c>
      <c r="Q71" s="262"/>
    </row>
    <row r="72" spans="6:17" ht="14.25" thickBot="1" x14ac:dyDescent="0.2">
      <c r="F72" s="263"/>
      <c r="G72" s="355"/>
      <c r="H72" s="264"/>
      <c r="I72" s="264"/>
      <c r="J72" s="264"/>
      <c r="K72" s="264"/>
      <c r="L72" s="264"/>
      <c r="M72" s="264"/>
      <c r="N72" s="264"/>
      <c r="O72" s="264"/>
      <c r="P72" s="264"/>
      <c r="Q72" s="265"/>
    </row>
    <row r="74" spans="6:17" ht="14.25" thickBot="1" x14ac:dyDescent="0.2"/>
    <row r="75" spans="6:17" x14ac:dyDescent="0.15">
      <c r="F75" s="257"/>
      <c r="G75" s="258"/>
      <c r="H75" s="258"/>
      <c r="I75" s="259"/>
      <c r="J75" s="258"/>
      <c r="K75" s="258"/>
      <c r="L75" s="258"/>
      <c r="M75" s="258"/>
      <c r="N75" s="258"/>
      <c r="O75" s="258"/>
      <c r="P75" s="258"/>
      <c r="Q75" s="260"/>
    </row>
    <row r="76" spans="6:17" ht="14.25" thickBot="1" x14ac:dyDescent="0.2">
      <c r="F76" s="261"/>
      <c r="G76" s="287" t="s">
        <v>217</v>
      </c>
      <c r="H76" s="250" t="s">
        <v>226</v>
      </c>
      <c r="I76" s="250" t="s">
        <v>208</v>
      </c>
      <c r="J76" s="250" t="s">
        <v>209</v>
      </c>
      <c r="K76" s="250" t="s">
        <v>210</v>
      </c>
      <c r="L76" s="250" t="s">
        <v>212</v>
      </c>
      <c r="M76" s="344" t="s">
        <v>235</v>
      </c>
      <c r="N76" s="345"/>
      <c r="O76" s="346"/>
      <c r="P76" s="250" t="s">
        <v>214</v>
      </c>
      <c r="Q76" s="262"/>
    </row>
    <row r="77" spans="6:17" ht="30" customHeight="1" x14ac:dyDescent="0.15">
      <c r="F77" s="261"/>
      <c r="G77" s="357" t="s">
        <v>147</v>
      </c>
      <c r="H77" s="285" t="s">
        <v>219</v>
      </c>
      <c r="I77" s="211" t="s">
        <v>234</v>
      </c>
      <c r="J77" s="203">
        <v>200</v>
      </c>
      <c r="K77" s="203">
        <v>400</v>
      </c>
      <c r="L77" s="203">
        <v>2.7</v>
      </c>
      <c r="M77" s="203">
        <v>6</v>
      </c>
      <c r="N77" s="203" t="s">
        <v>65</v>
      </c>
      <c r="O77" s="203">
        <v>14</v>
      </c>
      <c r="P77" s="203" t="s">
        <v>222</v>
      </c>
      <c r="Q77" s="262"/>
    </row>
    <row r="78" spans="6:17" ht="14.25" thickBot="1" x14ac:dyDescent="0.2">
      <c r="F78" s="263"/>
      <c r="G78" s="358"/>
      <c r="H78" s="286"/>
      <c r="I78" s="264"/>
      <c r="J78" s="264"/>
      <c r="K78" s="264"/>
      <c r="L78" s="264"/>
      <c r="M78" s="264"/>
      <c r="N78" s="264"/>
      <c r="O78" s="264"/>
      <c r="P78" s="264"/>
      <c r="Q78" s="265"/>
    </row>
    <row r="79" spans="6:17" ht="14.25" thickBot="1" x14ac:dyDescent="0.2"/>
    <row r="80" spans="6:17" x14ac:dyDescent="0.15">
      <c r="F80" s="257"/>
      <c r="G80" s="258"/>
      <c r="H80" s="258"/>
      <c r="I80" s="259"/>
      <c r="J80" s="258"/>
      <c r="K80" s="258"/>
      <c r="L80" s="258"/>
      <c r="M80" s="258"/>
      <c r="N80" s="258"/>
      <c r="O80" s="258"/>
      <c r="P80" s="258"/>
      <c r="Q80" s="260"/>
    </row>
    <row r="81" spans="6:17" x14ac:dyDescent="0.15">
      <c r="F81" s="261"/>
      <c r="G81" s="250"/>
      <c r="H81" s="250"/>
      <c r="I81" s="250"/>
      <c r="J81" s="250"/>
      <c r="K81" s="250"/>
      <c r="L81" s="250"/>
      <c r="M81" s="344"/>
      <c r="N81" s="345"/>
      <c r="O81" s="346"/>
      <c r="P81" s="250"/>
      <c r="Q81" s="262"/>
    </row>
    <row r="82" spans="6:17" x14ac:dyDescent="0.15">
      <c r="F82" s="261"/>
      <c r="G82" s="212"/>
      <c r="H82" s="251"/>
      <c r="I82" s="211"/>
      <c r="J82" s="203"/>
      <c r="K82" s="203"/>
      <c r="L82" s="203"/>
      <c r="M82" s="203"/>
      <c r="N82" s="203"/>
      <c r="O82" s="203"/>
      <c r="P82" s="203"/>
      <c r="Q82" s="262"/>
    </row>
    <row r="83" spans="6:17" ht="14.25" thickBot="1" x14ac:dyDescent="0.2">
      <c r="F83" s="263"/>
      <c r="G83" s="213"/>
      <c r="H83" s="264"/>
      <c r="I83" s="264"/>
      <c r="J83" s="264"/>
      <c r="K83" s="264"/>
      <c r="L83" s="264"/>
      <c r="M83" s="264"/>
      <c r="N83" s="264"/>
      <c r="O83" s="264"/>
      <c r="P83" s="264"/>
      <c r="Q83" s="265"/>
    </row>
  </sheetData>
  <mergeCells count="13">
    <mergeCell ref="M81:O81"/>
    <mergeCell ref="M66:O66"/>
    <mergeCell ref="G67:G72"/>
    <mergeCell ref="M76:O76"/>
    <mergeCell ref="G77:G78"/>
    <mergeCell ref="M56:O56"/>
    <mergeCell ref="G57:G62"/>
    <mergeCell ref="G16:G22"/>
    <mergeCell ref="G29:G35"/>
    <mergeCell ref="M4:O4"/>
    <mergeCell ref="M45:O45"/>
    <mergeCell ref="G46:G51"/>
    <mergeCell ref="G5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H3:AF40"/>
  <sheetViews>
    <sheetView topLeftCell="N1" workbookViewId="0">
      <selection activeCell="V3" sqref="V3"/>
    </sheetView>
  </sheetViews>
  <sheetFormatPr defaultRowHeight="13.5" x14ac:dyDescent="0.15"/>
  <cols>
    <col min="8" max="8" width="2.6953125" customWidth="1"/>
    <col min="9" max="9" width="11.3984375" bestFit="1" customWidth="1"/>
    <col min="10" max="10" width="17.16015625" bestFit="1" customWidth="1"/>
    <col min="11" max="11" width="23.78125" bestFit="1" customWidth="1"/>
    <col min="12" max="13" width="6.49609375" bestFit="1" customWidth="1"/>
    <col min="14" max="14" width="4.77734375" bestFit="1" customWidth="1"/>
    <col min="15" max="15" width="6.49609375" customWidth="1"/>
    <col min="16" max="16" width="2.328125" bestFit="1" customWidth="1"/>
    <col min="17" max="17" width="6.25" customWidth="1"/>
    <col min="18" max="18" width="16.42578125" customWidth="1"/>
    <col min="19" max="19" width="2.44921875" customWidth="1"/>
    <col min="21" max="21" width="2.6953125" customWidth="1"/>
    <col min="22" max="22" width="11.3984375" bestFit="1" customWidth="1"/>
    <col min="23" max="23" width="17.16015625" bestFit="1" customWidth="1"/>
    <col min="24" max="24" width="23.78125" bestFit="1" customWidth="1"/>
    <col min="25" max="26" width="6.49609375" bestFit="1" customWidth="1"/>
    <col min="27" max="27" width="4.77734375" bestFit="1" customWidth="1"/>
    <col min="28" max="28" width="6.49609375" customWidth="1"/>
    <col min="29" max="29" width="2.328125" bestFit="1" customWidth="1"/>
    <col min="30" max="30" width="6.25" customWidth="1"/>
    <col min="31" max="31" width="16.42578125" customWidth="1"/>
    <col min="32" max="32" width="2.44921875" customWidth="1"/>
  </cols>
  <sheetData>
    <row r="3" spans="8:32" x14ac:dyDescent="0.15">
      <c r="V3" t="e">
        <f>U5:AF27</f>
        <v>#VALUE!</v>
      </c>
    </row>
    <row r="4" spans="8:32" ht="14.25" thickBot="1" x14ac:dyDescent="0.2"/>
    <row r="5" spans="8:32" x14ac:dyDescent="0.15">
      <c r="H5" s="257"/>
      <c r="I5" s="258"/>
      <c r="J5" s="258"/>
      <c r="K5" s="259"/>
      <c r="L5" s="258"/>
      <c r="M5" s="258"/>
      <c r="N5" s="258"/>
      <c r="O5" s="258"/>
      <c r="P5" s="258"/>
      <c r="Q5" s="258"/>
      <c r="R5" s="258"/>
      <c r="S5" s="260"/>
      <c r="U5" s="257"/>
      <c r="V5" s="258"/>
      <c r="W5" s="258"/>
      <c r="X5" s="259"/>
      <c r="Y5" s="258"/>
      <c r="Z5" s="258"/>
      <c r="AA5" s="258"/>
      <c r="AB5" s="258"/>
      <c r="AC5" s="258"/>
      <c r="AD5" s="258"/>
      <c r="AE5" s="258"/>
      <c r="AF5" s="260"/>
    </row>
    <row r="6" spans="8:32" x14ac:dyDescent="0.15">
      <c r="H6" s="261"/>
      <c r="I6" s="250" t="s">
        <v>217</v>
      </c>
      <c r="J6" s="250" t="s">
        <v>226</v>
      </c>
      <c r="K6" s="250" t="s">
        <v>211</v>
      </c>
      <c r="L6" s="250" t="s">
        <v>209</v>
      </c>
      <c r="M6" s="250" t="s">
        <v>210</v>
      </c>
      <c r="N6" s="250" t="s">
        <v>212</v>
      </c>
      <c r="O6" s="344" t="s">
        <v>235</v>
      </c>
      <c r="P6" s="345"/>
      <c r="Q6" s="346"/>
      <c r="R6" s="250" t="s">
        <v>214</v>
      </c>
      <c r="S6" s="262"/>
      <c r="U6" s="261"/>
      <c r="V6" s="250" t="s">
        <v>217</v>
      </c>
      <c r="W6" s="250" t="s">
        <v>226</v>
      </c>
      <c r="X6" s="250" t="s">
        <v>211</v>
      </c>
      <c r="Y6" s="250" t="s">
        <v>209</v>
      </c>
      <c r="Z6" s="250" t="s">
        <v>210</v>
      </c>
      <c r="AA6" s="250" t="s">
        <v>212</v>
      </c>
      <c r="AB6" s="344" t="s">
        <v>235</v>
      </c>
      <c r="AC6" s="345"/>
      <c r="AD6" s="346"/>
      <c r="AE6" s="250" t="s">
        <v>214</v>
      </c>
      <c r="AF6" s="262"/>
    </row>
    <row r="7" spans="8:32" ht="30" customHeight="1" x14ac:dyDescent="0.15">
      <c r="H7" s="261"/>
      <c r="I7" s="353" t="s">
        <v>218</v>
      </c>
      <c r="J7" s="251" t="s">
        <v>219</v>
      </c>
      <c r="K7" s="211" t="s">
        <v>224</v>
      </c>
      <c r="L7" s="203">
        <v>300</v>
      </c>
      <c r="M7" s="203">
        <v>500</v>
      </c>
      <c r="N7" s="203">
        <v>2</v>
      </c>
      <c r="O7" s="203">
        <v>10</v>
      </c>
      <c r="P7" s="203" t="s">
        <v>65</v>
      </c>
      <c r="Q7" s="203">
        <v>14</v>
      </c>
      <c r="R7" s="203" t="s">
        <v>220</v>
      </c>
      <c r="S7" s="262"/>
      <c r="U7" s="261"/>
      <c r="V7" s="353" t="s">
        <v>218</v>
      </c>
      <c r="W7" s="251" t="s">
        <v>219</v>
      </c>
      <c r="X7" s="211" t="s">
        <v>224</v>
      </c>
      <c r="Y7" s="203">
        <v>300</v>
      </c>
      <c r="Z7" s="203">
        <v>500</v>
      </c>
      <c r="AA7" s="203">
        <v>2</v>
      </c>
      <c r="AB7" s="203">
        <v>10</v>
      </c>
      <c r="AC7" s="203" t="s">
        <v>65</v>
      </c>
      <c r="AD7" s="203">
        <v>14</v>
      </c>
      <c r="AE7" s="203" t="s">
        <v>220</v>
      </c>
      <c r="AF7" s="262"/>
    </row>
    <row r="8" spans="8:32" x14ac:dyDescent="0.15">
      <c r="H8" s="261"/>
      <c r="I8" s="354"/>
      <c r="J8" s="252"/>
      <c r="K8" s="253"/>
      <c r="L8" s="252"/>
      <c r="M8" s="252"/>
      <c r="N8" s="252"/>
      <c r="O8" s="252"/>
      <c r="P8" s="252"/>
      <c r="Q8" s="252"/>
      <c r="R8" s="252"/>
      <c r="S8" s="262"/>
      <c r="U8" s="261"/>
      <c r="V8" s="354"/>
      <c r="W8" s="252"/>
      <c r="X8" s="253"/>
      <c r="Y8" s="252"/>
      <c r="Z8" s="252"/>
      <c r="AA8" s="252"/>
      <c r="AB8" s="252"/>
      <c r="AC8" s="252"/>
      <c r="AD8" s="252"/>
      <c r="AE8" s="252"/>
      <c r="AF8" s="262"/>
    </row>
    <row r="9" spans="8:32" ht="26.25" x14ac:dyDescent="0.15">
      <c r="H9" s="261"/>
      <c r="I9" s="354"/>
      <c r="J9" s="251" t="s">
        <v>221</v>
      </c>
      <c r="K9" s="211" t="s">
        <v>225</v>
      </c>
      <c r="L9" s="203">
        <v>200</v>
      </c>
      <c r="M9" s="203">
        <v>500</v>
      </c>
      <c r="N9" s="203">
        <v>2</v>
      </c>
      <c r="O9" s="203">
        <v>8</v>
      </c>
      <c r="P9" s="203" t="s">
        <v>65</v>
      </c>
      <c r="Q9" s="203">
        <v>14</v>
      </c>
      <c r="R9" s="203" t="s">
        <v>222</v>
      </c>
      <c r="S9" s="262"/>
      <c r="U9" s="261"/>
      <c r="V9" s="354"/>
      <c r="W9" s="251" t="s">
        <v>221</v>
      </c>
      <c r="X9" s="211" t="s">
        <v>225</v>
      </c>
      <c r="Y9" s="203">
        <v>200</v>
      </c>
      <c r="Z9" s="203">
        <v>500</v>
      </c>
      <c r="AA9" s="203">
        <v>2</v>
      </c>
      <c r="AB9" s="203">
        <v>8</v>
      </c>
      <c r="AC9" s="203" t="s">
        <v>65</v>
      </c>
      <c r="AD9" s="203">
        <v>14</v>
      </c>
      <c r="AE9" s="203" t="s">
        <v>222</v>
      </c>
      <c r="AF9" s="262"/>
    </row>
    <row r="10" spans="8:32" x14ac:dyDescent="0.15">
      <c r="H10" s="261"/>
      <c r="I10" s="354"/>
      <c r="J10" s="252"/>
      <c r="K10" s="253"/>
      <c r="L10" s="252"/>
      <c r="M10" s="252"/>
      <c r="N10" s="252"/>
      <c r="O10" s="252"/>
      <c r="P10" s="252"/>
      <c r="Q10" s="252"/>
      <c r="R10" s="252"/>
      <c r="S10" s="262"/>
      <c r="U10" s="261"/>
      <c r="V10" s="354"/>
      <c r="W10" s="252"/>
      <c r="X10" s="253"/>
      <c r="Y10" s="252"/>
      <c r="Z10" s="252"/>
      <c r="AA10" s="252"/>
      <c r="AB10" s="252"/>
      <c r="AC10" s="252"/>
      <c r="AD10" s="252"/>
      <c r="AE10" s="252"/>
      <c r="AF10" s="262"/>
    </row>
    <row r="11" spans="8:32" x14ac:dyDescent="0.15">
      <c r="H11" s="261"/>
      <c r="I11" s="354"/>
      <c r="J11" s="251" t="s">
        <v>223</v>
      </c>
      <c r="K11" s="203" t="s">
        <v>227</v>
      </c>
      <c r="L11" s="203">
        <v>300</v>
      </c>
      <c r="M11" s="203">
        <v>600</v>
      </c>
      <c r="N11" s="203">
        <v>2</v>
      </c>
      <c r="O11" s="203">
        <v>12</v>
      </c>
      <c r="P11" s="203" t="s">
        <v>65</v>
      </c>
      <c r="Q11" s="203">
        <v>14</v>
      </c>
      <c r="R11" s="203" t="s">
        <v>220</v>
      </c>
      <c r="S11" s="262"/>
      <c r="U11" s="261"/>
      <c r="V11" s="354"/>
      <c r="W11" s="251" t="s">
        <v>223</v>
      </c>
      <c r="X11" s="203" t="s">
        <v>227</v>
      </c>
      <c r="Y11" s="203">
        <v>300</v>
      </c>
      <c r="Z11" s="203">
        <v>600</v>
      </c>
      <c r="AA11" s="203">
        <v>2</v>
      </c>
      <c r="AB11" s="203">
        <v>12</v>
      </c>
      <c r="AC11" s="203" t="s">
        <v>65</v>
      </c>
      <c r="AD11" s="203">
        <v>14</v>
      </c>
      <c r="AE11" s="203" t="s">
        <v>220</v>
      </c>
      <c r="AF11" s="262"/>
    </row>
    <row r="12" spans="8:32" ht="14.25" thickBot="1" x14ac:dyDescent="0.2">
      <c r="H12" s="263"/>
      <c r="I12" s="355"/>
      <c r="J12" s="264"/>
      <c r="K12" s="264"/>
      <c r="L12" s="264"/>
      <c r="M12" s="264"/>
      <c r="N12" s="264"/>
      <c r="O12" s="264"/>
      <c r="P12" s="264"/>
      <c r="Q12" s="264"/>
      <c r="R12" s="264"/>
      <c r="S12" s="265"/>
      <c r="U12" s="263"/>
      <c r="V12" s="355"/>
      <c r="W12" s="264"/>
      <c r="X12" s="264"/>
      <c r="Y12" s="264"/>
      <c r="Z12" s="264"/>
      <c r="AA12" s="264"/>
      <c r="AB12" s="264"/>
      <c r="AC12" s="264"/>
      <c r="AD12" s="264"/>
      <c r="AE12" s="264"/>
      <c r="AF12" s="265"/>
    </row>
    <row r="13" spans="8:32" ht="30" customHeight="1" x14ac:dyDescent="0.15">
      <c r="K13" s="200"/>
      <c r="U13" s="261"/>
      <c r="V13" s="359" t="s">
        <v>142</v>
      </c>
      <c r="W13" s="251" t="s">
        <v>219</v>
      </c>
      <c r="X13" s="211" t="s">
        <v>228</v>
      </c>
      <c r="Y13" s="203">
        <v>300</v>
      </c>
      <c r="Z13" s="203">
        <v>500</v>
      </c>
      <c r="AA13" s="203">
        <v>3.3</v>
      </c>
      <c r="AB13" s="203">
        <v>10</v>
      </c>
      <c r="AC13" s="203" t="s">
        <v>65</v>
      </c>
      <c r="AD13" s="203">
        <v>14</v>
      </c>
      <c r="AE13" s="203" t="s">
        <v>220</v>
      </c>
      <c r="AF13" s="262"/>
    </row>
    <row r="14" spans="8:32" x14ac:dyDescent="0.15">
      <c r="K14" s="200"/>
      <c r="U14" s="261"/>
      <c r="V14" s="348"/>
      <c r="W14" s="252"/>
      <c r="X14" s="253"/>
      <c r="Y14" s="252"/>
      <c r="Z14" s="252"/>
      <c r="AA14" s="252"/>
      <c r="AB14" s="252"/>
      <c r="AC14" s="252"/>
      <c r="AD14" s="252"/>
      <c r="AE14" s="252"/>
      <c r="AF14" s="262"/>
    </row>
    <row r="15" spans="8:32" ht="27" thickBot="1" x14ac:dyDescent="0.2">
      <c r="K15" s="200"/>
      <c r="U15" s="261"/>
      <c r="V15" s="348"/>
      <c r="W15" s="251" t="s">
        <v>221</v>
      </c>
      <c r="X15" s="211" t="s">
        <v>229</v>
      </c>
      <c r="Y15" s="203">
        <v>200</v>
      </c>
      <c r="Z15" s="203">
        <v>500</v>
      </c>
      <c r="AA15" s="203">
        <v>3.3</v>
      </c>
      <c r="AB15" s="203">
        <v>8</v>
      </c>
      <c r="AC15" s="203" t="s">
        <v>65</v>
      </c>
      <c r="AD15" s="203">
        <v>14</v>
      </c>
      <c r="AE15" s="203" t="s">
        <v>222</v>
      </c>
      <c r="AF15" s="262"/>
    </row>
    <row r="16" spans="8:32" x14ac:dyDescent="0.15">
      <c r="H16" s="257"/>
      <c r="I16" s="258"/>
      <c r="J16" s="258"/>
      <c r="K16" s="259"/>
      <c r="L16" s="258"/>
      <c r="M16" s="258"/>
      <c r="N16" s="258"/>
      <c r="O16" s="258"/>
      <c r="P16" s="258"/>
      <c r="Q16" s="258"/>
      <c r="R16" s="258"/>
      <c r="S16" s="260"/>
      <c r="U16" s="261"/>
      <c r="V16" s="348"/>
      <c r="W16" s="252"/>
      <c r="X16" s="253"/>
      <c r="Y16" s="252"/>
      <c r="Z16" s="252"/>
      <c r="AA16" s="252"/>
      <c r="AB16" s="252"/>
      <c r="AC16" s="252"/>
      <c r="AD16" s="252"/>
      <c r="AE16" s="252"/>
      <c r="AF16" s="262"/>
    </row>
    <row r="17" spans="8:32" x14ac:dyDescent="0.15">
      <c r="H17" s="261"/>
      <c r="I17" s="250" t="s">
        <v>217</v>
      </c>
      <c r="J17" s="250" t="s">
        <v>226</v>
      </c>
      <c r="K17" s="250" t="s">
        <v>208</v>
      </c>
      <c r="L17" s="250" t="s">
        <v>209</v>
      </c>
      <c r="M17" s="250" t="s">
        <v>210</v>
      </c>
      <c r="N17" s="250" t="s">
        <v>212</v>
      </c>
      <c r="O17" s="344" t="s">
        <v>235</v>
      </c>
      <c r="P17" s="345"/>
      <c r="Q17" s="346"/>
      <c r="R17" s="250" t="s">
        <v>214</v>
      </c>
      <c r="S17" s="262"/>
      <c r="U17" s="261"/>
      <c r="V17" s="348"/>
      <c r="W17" s="251" t="s">
        <v>223</v>
      </c>
      <c r="X17" s="203" t="s">
        <v>230</v>
      </c>
      <c r="Y17" s="203">
        <v>300</v>
      </c>
      <c r="Z17" s="203">
        <v>600</v>
      </c>
      <c r="AA17" s="203">
        <v>3.3</v>
      </c>
      <c r="AB17" s="203">
        <v>12</v>
      </c>
      <c r="AC17" s="203" t="s">
        <v>65</v>
      </c>
      <c r="AD17" s="203">
        <v>14</v>
      </c>
      <c r="AE17" s="203" t="s">
        <v>220</v>
      </c>
      <c r="AF17" s="262"/>
    </row>
    <row r="18" spans="8:32" ht="27" thickBot="1" x14ac:dyDescent="0.2">
      <c r="H18" s="261"/>
      <c r="I18" s="353" t="s">
        <v>142</v>
      </c>
      <c r="J18" s="251" t="s">
        <v>219</v>
      </c>
      <c r="K18" s="211" t="s">
        <v>228</v>
      </c>
      <c r="L18" s="203">
        <v>300</v>
      </c>
      <c r="M18" s="203">
        <v>500</v>
      </c>
      <c r="N18" s="203">
        <v>3.3</v>
      </c>
      <c r="O18" s="203">
        <v>10</v>
      </c>
      <c r="P18" s="203" t="s">
        <v>65</v>
      </c>
      <c r="Q18" s="203">
        <v>14</v>
      </c>
      <c r="R18" s="203" t="s">
        <v>220</v>
      </c>
      <c r="S18" s="262"/>
      <c r="U18" s="263"/>
      <c r="V18" s="349"/>
      <c r="W18" s="264"/>
      <c r="X18" s="264"/>
      <c r="Y18" s="264"/>
      <c r="Z18" s="264"/>
      <c r="AA18" s="264"/>
      <c r="AB18" s="264"/>
      <c r="AC18" s="264"/>
      <c r="AD18" s="264"/>
      <c r="AE18" s="264"/>
      <c r="AF18" s="265"/>
    </row>
    <row r="19" spans="8:32" ht="30" customHeight="1" x14ac:dyDescent="0.15">
      <c r="H19" s="261"/>
      <c r="I19" s="354"/>
      <c r="J19" s="252"/>
      <c r="K19" s="253"/>
      <c r="L19" s="252"/>
      <c r="M19" s="252"/>
      <c r="N19" s="252"/>
      <c r="O19" s="252"/>
      <c r="P19" s="252"/>
      <c r="Q19" s="252"/>
      <c r="R19" s="252"/>
      <c r="S19" s="262"/>
      <c r="U19" s="261"/>
      <c r="V19" s="353" t="s">
        <v>145</v>
      </c>
      <c r="W19" s="251" t="s">
        <v>219</v>
      </c>
      <c r="X19" s="211" t="s">
        <v>231</v>
      </c>
      <c r="Y19" s="203">
        <v>300</v>
      </c>
      <c r="Z19" s="203">
        <v>500</v>
      </c>
      <c r="AA19" s="203">
        <v>3.3</v>
      </c>
      <c r="AB19" s="203">
        <v>10</v>
      </c>
      <c r="AC19" s="203" t="s">
        <v>65</v>
      </c>
      <c r="AD19" s="203">
        <v>14</v>
      </c>
      <c r="AE19" s="203" t="s">
        <v>220</v>
      </c>
      <c r="AF19" s="262"/>
    </row>
    <row r="20" spans="8:32" ht="26.25" x14ac:dyDescent="0.15">
      <c r="H20" s="261"/>
      <c r="I20" s="354"/>
      <c r="J20" s="251" t="s">
        <v>221</v>
      </c>
      <c r="K20" s="211" t="s">
        <v>229</v>
      </c>
      <c r="L20" s="203">
        <v>200</v>
      </c>
      <c r="M20" s="203">
        <v>500</v>
      </c>
      <c r="N20" s="203">
        <v>3.3</v>
      </c>
      <c r="O20" s="203">
        <v>8</v>
      </c>
      <c r="P20" s="203" t="s">
        <v>65</v>
      </c>
      <c r="Q20" s="203">
        <v>14</v>
      </c>
      <c r="R20" s="203" t="s">
        <v>222</v>
      </c>
      <c r="S20" s="262"/>
      <c r="U20" s="261"/>
      <c r="V20" s="354"/>
      <c r="W20" s="252"/>
      <c r="X20" s="253"/>
      <c r="Y20" s="252"/>
      <c r="Z20" s="252"/>
      <c r="AA20" s="252"/>
      <c r="AB20" s="252"/>
      <c r="AC20" s="252"/>
      <c r="AD20" s="252"/>
      <c r="AE20" s="252"/>
      <c r="AF20" s="262"/>
    </row>
    <row r="21" spans="8:32" x14ac:dyDescent="0.15">
      <c r="H21" s="261"/>
      <c r="I21" s="354"/>
      <c r="J21" s="252"/>
      <c r="K21" s="253"/>
      <c r="L21" s="252"/>
      <c r="M21" s="252"/>
      <c r="N21" s="252"/>
      <c r="O21" s="252"/>
      <c r="P21" s="252"/>
      <c r="Q21" s="252"/>
      <c r="R21" s="252"/>
      <c r="S21" s="262"/>
      <c r="U21" s="261"/>
      <c r="V21" s="354"/>
      <c r="W21" s="251" t="s">
        <v>221</v>
      </c>
      <c r="X21" s="211" t="s">
        <v>232</v>
      </c>
      <c r="Y21" s="203">
        <v>300</v>
      </c>
      <c r="Z21" s="203">
        <v>600</v>
      </c>
      <c r="AA21" s="203">
        <v>3.3</v>
      </c>
      <c r="AB21" s="203">
        <v>12</v>
      </c>
      <c r="AC21" s="203" t="s">
        <v>65</v>
      </c>
      <c r="AD21" s="203">
        <v>14</v>
      </c>
      <c r="AE21" s="203" t="s">
        <v>220</v>
      </c>
      <c r="AF21" s="262"/>
    </row>
    <row r="22" spans="8:32" x14ac:dyDescent="0.15">
      <c r="H22" s="261"/>
      <c r="I22" s="354"/>
      <c r="J22" s="251" t="s">
        <v>223</v>
      </c>
      <c r="K22" s="203" t="s">
        <v>230</v>
      </c>
      <c r="L22" s="203">
        <v>300</v>
      </c>
      <c r="M22" s="203">
        <v>600</v>
      </c>
      <c r="N22" s="203">
        <v>3.3</v>
      </c>
      <c r="O22" s="203">
        <v>12</v>
      </c>
      <c r="P22" s="203" t="s">
        <v>65</v>
      </c>
      <c r="Q22" s="203">
        <v>14</v>
      </c>
      <c r="R22" s="203" t="s">
        <v>220</v>
      </c>
      <c r="S22" s="262"/>
      <c r="U22" s="261"/>
      <c r="V22" s="354"/>
      <c r="W22" s="252"/>
      <c r="X22" s="253"/>
      <c r="Y22" s="252"/>
      <c r="Z22" s="252"/>
      <c r="AA22" s="252"/>
      <c r="AB22" s="252"/>
      <c r="AC22" s="252"/>
      <c r="AD22" s="252"/>
      <c r="AE22" s="252"/>
      <c r="AF22" s="262"/>
    </row>
    <row r="23" spans="8:32" ht="27" thickBot="1" x14ac:dyDescent="0.2">
      <c r="H23" s="263"/>
      <c r="I23" s="355"/>
      <c r="J23" s="264"/>
      <c r="K23" s="264"/>
      <c r="L23" s="264"/>
      <c r="M23" s="264"/>
      <c r="N23" s="264"/>
      <c r="O23" s="264"/>
      <c r="P23" s="264"/>
      <c r="Q23" s="264"/>
      <c r="R23" s="264"/>
      <c r="S23" s="265"/>
      <c r="U23" s="261"/>
      <c r="V23" s="354"/>
      <c r="W23" s="251" t="s">
        <v>223</v>
      </c>
      <c r="X23" s="211" t="s">
        <v>233</v>
      </c>
      <c r="Y23" s="203">
        <v>200</v>
      </c>
      <c r="Z23" s="203">
        <v>500</v>
      </c>
      <c r="AA23" s="203">
        <v>3.3</v>
      </c>
      <c r="AB23" s="203">
        <v>8</v>
      </c>
      <c r="AC23" s="203" t="s">
        <v>65</v>
      </c>
      <c r="AD23" s="203">
        <v>14</v>
      </c>
      <c r="AE23" s="203" t="s">
        <v>222</v>
      </c>
      <c r="AF23" s="262"/>
    </row>
    <row r="24" spans="8:32" ht="14.25" thickBot="1" x14ac:dyDescent="0.2">
      <c r="K24" s="200"/>
      <c r="U24" s="263"/>
      <c r="V24" s="355"/>
      <c r="W24" s="264"/>
      <c r="X24" s="264"/>
      <c r="Y24" s="264"/>
      <c r="Z24" s="264"/>
      <c r="AA24" s="264"/>
      <c r="AB24" s="264"/>
      <c r="AC24" s="264"/>
      <c r="AD24" s="264"/>
      <c r="AE24" s="264"/>
      <c r="AF24" s="265"/>
    </row>
    <row r="25" spans="8:32" ht="30" customHeight="1" x14ac:dyDescent="0.15">
      <c r="K25" s="200"/>
      <c r="U25" s="261"/>
      <c r="V25" s="357" t="s">
        <v>147</v>
      </c>
      <c r="W25" s="285" t="s">
        <v>219</v>
      </c>
      <c r="X25" s="211" t="s">
        <v>234</v>
      </c>
      <c r="Y25" s="203">
        <v>200</v>
      </c>
      <c r="Z25" s="203">
        <v>400</v>
      </c>
      <c r="AA25" s="203">
        <v>2.7</v>
      </c>
      <c r="AB25" s="203">
        <v>6</v>
      </c>
      <c r="AC25" s="203" t="s">
        <v>65</v>
      </c>
      <c r="AD25" s="203">
        <v>14</v>
      </c>
      <c r="AE25" s="203" t="s">
        <v>222</v>
      </c>
      <c r="AF25" s="262"/>
    </row>
    <row r="26" spans="8:32" ht="14.25" thickBot="1" x14ac:dyDescent="0.2">
      <c r="K26" s="200"/>
      <c r="U26" s="263"/>
      <c r="V26" s="358"/>
      <c r="W26" s="286"/>
      <c r="X26" s="264"/>
      <c r="Y26" s="264"/>
      <c r="Z26" s="264"/>
      <c r="AA26" s="264"/>
      <c r="AB26" s="264"/>
      <c r="AC26" s="264"/>
      <c r="AD26" s="264"/>
      <c r="AE26" s="264"/>
      <c r="AF26" s="265"/>
    </row>
    <row r="27" spans="8:32" x14ac:dyDescent="0.15">
      <c r="H27" s="257"/>
      <c r="I27" s="258"/>
      <c r="J27" s="258"/>
      <c r="K27" s="259"/>
      <c r="L27" s="258"/>
      <c r="M27" s="258"/>
      <c r="N27" s="258"/>
      <c r="O27" s="258"/>
      <c r="P27" s="258"/>
      <c r="Q27" s="258"/>
      <c r="R27" s="258"/>
      <c r="S27" s="260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248"/>
    </row>
    <row r="28" spans="8:32" x14ac:dyDescent="0.15">
      <c r="H28" s="261"/>
      <c r="I28" s="250" t="s">
        <v>217</v>
      </c>
      <c r="J28" s="250" t="s">
        <v>226</v>
      </c>
      <c r="K28" s="250" t="s">
        <v>208</v>
      </c>
      <c r="L28" s="250" t="s">
        <v>209</v>
      </c>
      <c r="M28" s="250" t="s">
        <v>210</v>
      </c>
      <c r="N28" s="250" t="s">
        <v>212</v>
      </c>
      <c r="O28" s="344" t="s">
        <v>235</v>
      </c>
      <c r="P28" s="345"/>
      <c r="Q28" s="346"/>
      <c r="R28" s="250" t="s">
        <v>214</v>
      </c>
      <c r="S28" s="262"/>
    </row>
    <row r="29" spans="8:32" ht="26.25" x14ac:dyDescent="0.15">
      <c r="H29" s="261"/>
      <c r="I29" s="353" t="s">
        <v>145</v>
      </c>
      <c r="J29" s="251" t="s">
        <v>219</v>
      </c>
      <c r="K29" s="211" t="s">
        <v>231</v>
      </c>
      <c r="L29" s="203">
        <v>300</v>
      </c>
      <c r="M29" s="203">
        <v>500</v>
      </c>
      <c r="N29" s="203">
        <v>3.3</v>
      </c>
      <c r="O29" s="203">
        <v>10</v>
      </c>
      <c r="P29" s="203" t="s">
        <v>65</v>
      </c>
      <c r="Q29" s="203">
        <v>14</v>
      </c>
      <c r="R29" s="203" t="s">
        <v>220</v>
      </c>
      <c r="S29" s="262"/>
    </row>
    <row r="30" spans="8:32" x14ac:dyDescent="0.15">
      <c r="H30" s="261"/>
      <c r="I30" s="354"/>
      <c r="J30" s="252"/>
      <c r="K30" s="253"/>
      <c r="L30" s="252"/>
      <c r="M30" s="252"/>
      <c r="N30" s="252"/>
      <c r="O30" s="252"/>
      <c r="P30" s="252"/>
      <c r="Q30" s="252"/>
      <c r="R30" s="252"/>
      <c r="S30" s="262"/>
    </row>
    <row r="31" spans="8:32" x14ac:dyDescent="0.15">
      <c r="H31" s="261"/>
      <c r="I31" s="354"/>
      <c r="J31" s="251" t="s">
        <v>221</v>
      </c>
      <c r="K31" s="211" t="s">
        <v>232</v>
      </c>
      <c r="L31" s="203">
        <v>300</v>
      </c>
      <c r="M31" s="203">
        <v>600</v>
      </c>
      <c r="N31" s="203">
        <v>3.3</v>
      </c>
      <c r="O31" s="203">
        <v>12</v>
      </c>
      <c r="P31" s="203" t="s">
        <v>65</v>
      </c>
      <c r="Q31" s="203">
        <v>14</v>
      </c>
      <c r="R31" s="203" t="s">
        <v>220</v>
      </c>
      <c r="S31" s="262"/>
    </row>
    <row r="32" spans="8:32" x14ac:dyDescent="0.15">
      <c r="H32" s="261"/>
      <c r="I32" s="354"/>
      <c r="J32" s="252"/>
      <c r="K32" s="253"/>
      <c r="L32" s="252"/>
      <c r="M32" s="252"/>
      <c r="N32" s="252"/>
      <c r="O32" s="252"/>
      <c r="P32" s="252"/>
      <c r="Q32" s="252"/>
      <c r="R32" s="252"/>
      <c r="S32" s="262"/>
    </row>
    <row r="33" spans="8:19" x14ac:dyDescent="0.15">
      <c r="H33" s="261"/>
      <c r="I33" s="354"/>
      <c r="J33" s="251" t="s">
        <v>223</v>
      </c>
      <c r="K33" s="203" t="s">
        <v>233</v>
      </c>
      <c r="L33" s="203">
        <v>200</v>
      </c>
      <c r="M33" s="203">
        <v>500</v>
      </c>
      <c r="N33" s="203">
        <v>3.3</v>
      </c>
      <c r="O33" s="203">
        <v>8</v>
      </c>
      <c r="P33" s="203" t="s">
        <v>65</v>
      </c>
      <c r="Q33" s="203">
        <v>14</v>
      </c>
      <c r="R33" s="203" t="s">
        <v>222</v>
      </c>
      <c r="S33" s="262"/>
    </row>
    <row r="34" spans="8:19" ht="14.25" thickBot="1" x14ac:dyDescent="0.2">
      <c r="H34" s="263"/>
      <c r="I34" s="355"/>
      <c r="J34" s="264"/>
      <c r="K34" s="264"/>
      <c r="L34" s="264"/>
      <c r="M34" s="264"/>
      <c r="N34" s="264"/>
      <c r="O34" s="264"/>
      <c r="P34" s="264"/>
      <c r="Q34" s="264"/>
      <c r="R34" s="264"/>
      <c r="S34" s="265"/>
    </row>
    <row r="35" spans="8:19" x14ac:dyDescent="0.15">
      <c r="K35" s="200"/>
    </row>
    <row r="36" spans="8:19" ht="14.25" thickBot="1" x14ac:dyDescent="0.2">
      <c r="K36" s="200"/>
    </row>
    <row r="37" spans="8:19" x14ac:dyDescent="0.15">
      <c r="H37" s="257"/>
      <c r="I37" s="258"/>
      <c r="J37" s="258"/>
      <c r="K37" s="259"/>
      <c r="L37" s="258"/>
      <c r="M37" s="258"/>
      <c r="N37" s="258"/>
      <c r="O37" s="258"/>
      <c r="P37" s="258"/>
      <c r="Q37" s="258"/>
      <c r="R37" s="258"/>
      <c r="S37" s="260"/>
    </row>
    <row r="38" spans="8:19" ht="14.25" thickBot="1" x14ac:dyDescent="0.2">
      <c r="H38" s="261"/>
      <c r="I38" s="250" t="s">
        <v>217</v>
      </c>
      <c r="J38" s="250" t="s">
        <v>226</v>
      </c>
      <c r="K38" s="250" t="s">
        <v>208</v>
      </c>
      <c r="L38" s="250" t="s">
        <v>209</v>
      </c>
      <c r="M38" s="250" t="s">
        <v>210</v>
      </c>
      <c r="N38" s="250" t="s">
        <v>212</v>
      </c>
      <c r="O38" s="344" t="s">
        <v>235</v>
      </c>
      <c r="P38" s="345"/>
      <c r="Q38" s="346"/>
      <c r="R38" s="250" t="s">
        <v>214</v>
      </c>
      <c r="S38" s="262"/>
    </row>
    <row r="39" spans="8:19" x14ac:dyDescent="0.15">
      <c r="H39" s="261"/>
      <c r="I39" s="357" t="s">
        <v>147</v>
      </c>
      <c r="J39" s="285" t="s">
        <v>219</v>
      </c>
      <c r="K39" s="211" t="s">
        <v>234</v>
      </c>
      <c r="L39" s="203">
        <v>200</v>
      </c>
      <c r="M39" s="203">
        <v>400</v>
      </c>
      <c r="N39" s="203">
        <v>2.7</v>
      </c>
      <c r="O39" s="203">
        <v>6</v>
      </c>
      <c r="P39" s="203" t="s">
        <v>65</v>
      </c>
      <c r="Q39" s="203">
        <v>14</v>
      </c>
      <c r="R39" s="203" t="s">
        <v>222</v>
      </c>
      <c r="S39" s="262"/>
    </row>
    <row r="40" spans="8:19" ht="14.25" thickBot="1" x14ac:dyDescent="0.2">
      <c r="H40" s="263"/>
      <c r="I40" s="358"/>
      <c r="J40" s="286"/>
      <c r="K40" s="264"/>
      <c r="L40" s="264"/>
      <c r="M40" s="264"/>
      <c r="N40" s="264"/>
      <c r="O40" s="264"/>
      <c r="P40" s="264"/>
      <c r="Q40" s="264"/>
      <c r="R40" s="264"/>
      <c r="S40" s="265"/>
    </row>
  </sheetData>
  <mergeCells count="13">
    <mergeCell ref="O38:Q38"/>
    <mergeCell ref="I39:I40"/>
    <mergeCell ref="AB6:AD6"/>
    <mergeCell ref="V7:V12"/>
    <mergeCell ref="V13:V18"/>
    <mergeCell ref="V19:V24"/>
    <mergeCell ref="V25:V26"/>
    <mergeCell ref="O6:Q6"/>
    <mergeCell ref="I7:I12"/>
    <mergeCell ref="O17:Q17"/>
    <mergeCell ref="I18:I23"/>
    <mergeCell ref="O28:Q28"/>
    <mergeCell ref="I29:I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Z29"/>
  <sheetViews>
    <sheetView topLeftCell="A4" workbookViewId="0">
      <selection activeCell="D14" sqref="D14"/>
    </sheetView>
  </sheetViews>
  <sheetFormatPr defaultRowHeight="13.5" x14ac:dyDescent="0.15"/>
  <cols>
    <col min="5" max="5" width="8.94921875" style="186"/>
    <col min="6" max="6" width="11.03125" style="186" bestFit="1" customWidth="1"/>
    <col min="7" max="7" width="12.87109375" style="186" customWidth="1"/>
    <col min="8" max="8" width="39.10546875" style="186" bestFit="1" customWidth="1"/>
    <col min="9" max="10" width="7.35546875" style="186" customWidth="1"/>
    <col min="11" max="11" width="5.390625" style="186" customWidth="1"/>
    <col min="12" max="12" width="3.4296875" style="186" customWidth="1"/>
    <col min="13" max="13" width="2.57421875" style="186" customWidth="1"/>
    <col min="14" max="14" width="3.4296875" style="186" customWidth="1"/>
    <col min="15" max="15" width="18.265625" style="186" bestFit="1" customWidth="1"/>
    <col min="16" max="16" width="8.94921875" style="186"/>
    <col min="17" max="17" width="11.03125" bestFit="1" customWidth="1"/>
    <col min="18" max="18" width="12.87109375" customWidth="1"/>
    <col min="19" max="19" width="39.10546875" bestFit="1" customWidth="1"/>
    <col min="20" max="21" width="7.35546875" customWidth="1"/>
    <col min="22" max="22" width="5.390625" customWidth="1"/>
    <col min="23" max="23" width="3.4296875" customWidth="1"/>
    <col min="24" max="24" width="2.57421875" customWidth="1"/>
    <col min="25" max="25" width="3.4296875" customWidth="1"/>
    <col min="26" max="26" width="18.265625" bestFit="1" customWidth="1"/>
  </cols>
  <sheetData>
    <row r="2" spans="4:26" ht="14.25" thickBot="1" x14ac:dyDescent="0.2"/>
    <row r="3" spans="4:26" ht="14.25" x14ac:dyDescent="0.15">
      <c r="F3" s="266" t="s">
        <v>217</v>
      </c>
      <c r="G3" s="267" t="s">
        <v>226</v>
      </c>
      <c r="H3" s="267" t="s">
        <v>211</v>
      </c>
      <c r="I3" s="267" t="s">
        <v>209</v>
      </c>
      <c r="J3" s="267" t="s">
        <v>210</v>
      </c>
      <c r="K3" s="267" t="s">
        <v>212</v>
      </c>
      <c r="L3" s="360" t="s">
        <v>235</v>
      </c>
      <c r="M3" s="361"/>
      <c r="N3" s="362"/>
      <c r="O3" s="268" t="s">
        <v>214</v>
      </c>
    </row>
    <row r="4" spans="4:26" ht="36.75" customHeight="1" x14ac:dyDescent="0.15">
      <c r="F4" s="363" t="s">
        <v>218</v>
      </c>
      <c r="G4" s="269" t="s">
        <v>219</v>
      </c>
      <c r="H4" s="270" t="s">
        <v>224</v>
      </c>
      <c r="I4" s="269">
        <v>300</v>
      </c>
      <c r="J4" s="269">
        <v>500</v>
      </c>
      <c r="K4" s="269">
        <v>2</v>
      </c>
      <c r="L4" s="269">
        <v>10</v>
      </c>
      <c r="M4" s="269" t="s">
        <v>65</v>
      </c>
      <c r="N4" s="269">
        <v>14</v>
      </c>
      <c r="O4" s="271" t="s">
        <v>220</v>
      </c>
    </row>
    <row r="5" spans="4:26" ht="14.25" x14ac:dyDescent="0.15">
      <c r="F5" s="364"/>
      <c r="G5" s="269"/>
      <c r="H5" s="270"/>
      <c r="I5" s="269"/>
      <c r="J5" s="269"/>
      <c r="K5" s="269"/>
      <c r="L5" s="269"/>
      <c r="M5" s="269"/>
      <c r="N5" s="269"/>
      <c r="O5" s="271"/>
    </row>
    <row r="6" spans="4:26" ht="40.5" customHeight="1" x14ac:dyDescent="0.15">
      <c r="D6" t="e">
        <f>F3:O9</f>
        <v>#VALUE!</v>
      </c>
      <c r="F6" s="364"/>
      <c r="G6" s="269" t="s">
        <v>221</v>
      </c>
      <c r="H6" s="270" t="s">
        <v>225</v>
      </c>
      <c r="I6" s="269">
        <v>200</v>
      </c>
      <c r="J6" s="269">
        <v>500</v>
      </c>
      <c r="K6" s="269">
        <v>2</v>
      </c>
      <c r="L6" s="269">
        <v>8</v>
      </c>
      <c r="M6" s="269" t="s">
        <v>65</v>
      </c>
      <c r="N6" s="269">
        <v>14</v>
      </c>
      <c r="O6" s="271" t="s">
        <v>222</v>
      </c>
    </row>
    <row r="7" spans="4:26" ht="14.25" x14ac:dyDescent="0.15">
      <c r="F7" s="364"/>
      <c r="G7" s="269"/>
      <c r="H7" s="270"/>
      <c r="I7" s="269"/>
      <c r="J7" s="269"/>
      <c r="K7" s="269"/>
      <c r="L7" s="269"/>
      <c r="M7" s="269"/>
      <c r="N7" s="269"/>
      <c r="O7" s="271"/>
    </row>
    <row r="8" spans="4:26" ht="15" thickBot="1" x14ac:dyDescent="0.2">
      <c r="F8" s="364"/>
      <c r="G8" s="269" t="s">
        <v>223</v>
      </c>
      <c r="H8" s="269" t="s">
        <v>227</v>
      </c>
      <c r="I8" s="269">
        <v>300</v>
      </c>
      <c r="J8" s="269">
        <v>600</v>
      </c>
      <c r="K8" s="269">
        <v>2</v>
      </c>
      <c r="L8" s="269">
        <v>12</v>
      </c>
      <c r="M8" s="269" t="s">
        <v>65</v>
      </c>
      <c r="N8" s="269">
        <v>14</v>
      </c>
      <c r="O8" s="271" t="s">
        <v>220</v>
      </c>
    </row>
    <row r="9" spans="4:26" ht="15" thickBot="1" x14ac:dyDescent="0.2">
      <c r="F9" s="365"/>
      <c r="G9" s="272"/>
      <c r="H9" s="272"/>
      <c r="I9" s="272"/>
      <c r="J9" s="272"/>
      <c r="K9" s="272"/>
      <c r="L9" s="272"/>
      <c r="M9" s="272"/>
      <c r="N9" s="272"/>
      <c r="O9" s="273"/>
      <c r="Q9" s="266" t="s">
        <v>217</v>
      </c>
      <c r="R9" s="267" t="s">
        <v>226</v>
      </c>
      <c r="S9" s="267" t="s">
        <v>236</v>
      </c>
      <c r="T9" s="267" t="s">
        <v>209</v>
      </c>
      <c r="U9" s="267" t="s">
        <v>210</v>
      </c>
      <c r="V9" s="267" t="s">
        <v>212</v>
      </c>
      <c r="W9" s="360" t="s">
        <v>235</v>
      </c>
      <c r="X9" s="361"/>
      <c r="Y9" s="362"/>
      <c r="Z9" s="268" t="s">
        <v>214</v>
      </c>
    </row>
    <row r="10" spans="4:26" ht="15" thickBot="1" x14ac:dyDescent="0.2">
      <c r="F10" s="274"/>
      <c r="G10" s="275"/>
      <c r="H10" s="275"/>
      <c r="I10" s="275"/>
      <c r="J10" s="275"/>
      <c r="K10" s="275"/>
      <c r="L10" s="275"/>
      <c r="M10" s="275"/>
      <c r="N10" s="275"/>
      <c r="O10" s="276"/>
      <c r="Q10" s="279"/>
      <c r="R10" s="280"/>
      <c r="S10" s="280"/>
      <c r="T10" s="280"/>
      <c r="U10" s="280"/>
      <c r="V10" s="280"/>
      <c r="W10" s="281"/>
      <c r="X10" s="282"/>
      <c r="Y10" s="283"/>
      <c r="Z10" s="284"/>
    </row>
    <row r="11" spans="4:26" ht="14.25" x14ac:dyDescent="0.15">
      <c r="F11" s="266" t="s">
        <v>217</v>
      </c>
      <c r="G11" s="267" t="s">
        <v>226</v>
      </c>
      <c r="H11" s="267" t="s">
        <v>236</v>
      </c>
      <c r="I11" s="267" t="s">
        <v>209</v>
      </c>
      <c r="J11" s="267" t="s">
        <v>210</v>
      </c>
      <c r="K11" s="267" t="s">
        <v>212</v>
      </c>
      <c r="L11" s="360" t="s">
        <v>235</v>
      </c>
      <c r="M11" s="361"/>
      <c r="N11" s="362"/>
      <c r="O11" s="268" t="s">
        <v>214</v>
      </c>
      <c r="Q11" s="279"/>
      <c r="R11" s="280"/>
      <c r="S11" s="280"/>
      <c r="T11" s="280"/>
      <c r="U11" s="280"/>
      <c r="V11" s="280"/>
      <c r="W11" s="281"/>
      <c r="X11" s="282"/>
      <c r="Y11" s="283"/>
      <c r="Z11" s="284"/>
    </row>
    <row r="12" spans="4:26" ht="51.75" customHeight="1" x14ac:dyDescent="0.15">
      <c r="F12" s="363" t="s">
        <v>142</v>
      </c>
      <c r="G12" s="269" t="s">
        <v>219</v>
      </c>
      <c r="H12" s="270" t="s">
        <v>228</v>
      </c>
      <c r="I12" s="269">
        <v>300</v>
      </c>
      <c r="J12" s="269">
        <v>500</v>
      </c>
      <c r="K12" s="269">
        <v>3.3</v>
      </c>
      <c r="L12" s="269">
        <v>10</v>
      </c>
      <c r="M12" s="269" t="s">
        <v>65</v>
      </c>
      <c r="N12" s="269">
        <v>14</v>
      </c>
      <c r="O12" s="271" t="s">
        <v>220</v>
      </c>
      <c r="Q12" s="363" t="s">
        <v>142</v>
      </c>
      <c r="R12" s="269" t="s">
        <v>219</v>
      </c>
      <c r="S12" s="270" t="s">
        <v>228</v>
      </c>
      <c r="T12" s="269">
        <v>300</v>
      </c>
      <c r="U12" s="269">
        <v>500</v>
      </c>
      <c r="V12" s="269">
        <v>3.3</v>
      </c>
      <c r="W12" s="269">
        <v>10</v>
      </c>
      <c r="X12" s="269" t="s">
        <v>65</v>
      </c>
      <c r="Y12" s="269">
        <v>14</v>
      </c>
      <c r="Z12" s="271" t="s">
        <v>220</v>
      </c>
    </row>
    <row r="13" spans="4:26" ht="14.25" x14ac:dyDescent="0.15">
      <c r="D13" t="e">
        <f>F11:O17</f>
        <v>#VALUE!</v>
      </c>
      <c r="F13" s="364"/>
      <c r="G13" s="269"/>
      <c r="H13" s="270"/>
      <c r="I13" s="269"/>
      <c r="J13" s="269"/>
      <c r="K13" s="269"/>
      <c r="L13" s="269"/>
      <c r="M13" s="269"/>
      <c r="N13" s="269"/>
      <c r="O13" s="271"/>
      <c r="Q13" s="364"/>
      <c r="R13" s="269"/>
      <c r="S13" s="270"/>
      <c r="T13" s="269"/>
      <c r="U13" s="269"/>
      <c r="V13" s="269"/>
      <c r="W13" s="269"/>
      <c r="X13" s="269"/>
      <c r="Y13" s="269"/>
      <c r="Z13" s="271"/>
    </row>
    <row r="14" spans="4:26" ht="48.75" customHeight="1" x14ac:dyDescent="0.15">
      <c r="F14" s="364"/>
      <c r="G14" s="269" t="s">
        <v>221</v>
      </c>
      <c r="H14" s="270" t="s">
        <v>229</v>
      </c>
      <c r="I14" s="269">
        <v>200</v>
      </c>
      <c r="J14" s="269">
        <v>500</v>
      </c>
      <c r="K14" s="269">
        <v>3.3</v>
      </c>
      <c r="L14" s="269">
        <v>8</v>
      </c>
      <c r="M14" s="269" t="s">
        <v>65</v>
      </c>
      <c r="N14" s="269">
        <v>14</v>
      </c>
      <c r="O14" s="271" t="s">
        <v>222</v>
      </c>
      <c r="Q14" s="364"/>
      <c r="R14" s="269" t="s">
        <v>221</v>
      </c>
      <c r="S14" s="270" t="s">
        <v>229</v>
      </c>
      <c r="T14" s="269">
        <v>200</v>
      </c>
      <c r="U14" s="269">
        <v>500</v>
      </c>
      <c r="V14" s="269">
        <v>3.3</v>
      </c>
      <c r="W14" s="269">
        <v>8</v>
      </c>
      <c r="X14" s="269" t="s">
        <v>65</v>
      </c>
      <c r="Y14" s="269">
        <v>14</v>
      </c>
      <c r="Z14" s="271" t="s">
        <v>222</v>
      </c>
    </row>
    <row r="15" spans="4:26" ht="14.25" x14ac:dyDescent="0.15">
      <c r="F15" s="364"/>
      <c r="G15" s="269"/>
      <c r="H15" s="270"/>
      <c r="I15" s="269"/>
      <c r="J15" s="269"/>
      <c r="K15" s="269"/>
      <c r="L15" s="269"/>
      <c r="M15" s="269"/>
      <c r="N15" s="269"/>
      <c r="O15" s="271"/>
      <c r="Q15" s="364"/>
      <c r="R15" s="269"/>
      <c r="S15" s="270"/>
      <c r="T15" s="269"/>
      <c r="U15" s="269"/>
      <c r="V15" s="269"/>
      <c r="W15" s="269"/>
      <c r="X15" s="269"/>
      <c r="Y15" s="269"/>
      <c r="Z15" s="271"/>
    </row>
    <row r="16" spans="4:26" ht="32.25" customHeight="1" x14ac:dyDescent="0.15">
      <c r="F16" s="364"/>
      <c r="G16" s="269" t="s">
        <v>223</v>
      </c>
      <c r="H16" s="269" t="s">
        <v>230</v>
      </c>
      <c r="I16" s="269">
        <v>300</v>
      </c>
      <c r="J16" s="269">
        <v>600</v>
      </c>
      <c r="K16" s="269">
        <v>3.3</v>
      </c>
      <c r="L16" s="269">
        <v>12</v>
      </c>
      <c r="M16" s="269" t="s">
        <v>65</v>
      </c>
      <c r="N16" s="269">
        <v>14</v>
      </c>
      <c r="O16" s="271" t="s">
        <v>220</v>
      </c>
      <c r="Q16" s="364"/>
      <c r="R16" s="269" t="s">
        <v>223</v>
      </c>
      <c r="S16" s="269" t="s">
        <v>230</v>
      </c>
      <c r="T16" s="269">
        <v>300</v>
      </c>
      <c r="U16" s="269">
        <v>600</v>
      </c>
      <c r="V16" s="269">
        <v>3.3</v>
      </c>
      <c r="W16" s="269">
        <v>12</v>
      </c>
      <c r="X16" s="269" t="s">
        <v>65</v>
      </c>
      <c r="Y16" s="269">
        <v>14</v>
      </c>
      <c r="Z16" s="271" t="s">
        <v>220</v>
      </c>
    </row>
    <row r="17" spans="6:26" ht="15" thickBot="1" x14ac:dyDescent="0.2">
      <c r="F17" s="365"/>
      <c r="G17" s="272"/>
      <c r="H17" s="272"/>
      <c r="I17" s="272"/>
      <c r="J17" s="272"/>
      <c r="K17" s="272"/>
      <c r="L17" s="272"/>
      <c r="M17" s="272"/>
      <c r="N17" s="272"/>
      <c r="O17" s="273"/>
      <c r="Q17" s="365"/>
      <c r="R17" s="272"/>
      <c r="S17" s="272"/>
      <c r="T17" s="272"/>
      <c r="U17" s="272"/>
      <c r="V17" s="272"/>
      <c r="W17" s="272"/>
      <c r="X17" s="272"/>
      <c r="Y17" s="272"/>
      <c r="Z17" s="273"/>
    </row>
    <row r="18" spans="6:26" ht="15" thickBot="1" x14ac:dyDescent="0.2">
      <c r="F18" s="274"/>
      <c r="G18" s="275"/>
      <c r="H18" s="275"/>
      <c r="I18" s="275"/>
      <c r="J18" s="275"/>
      <c r="K18" s="275"/>
      <c r="L18" s="275"/>
      <c r="M18" s="275"/>
      <c r="N18" s="275"/>
      <c r="O18" s="276"/>
      <c r="Q18" s="277"/>
      <c r="R18" s="278"/>
      <c r="S18" s="278"/>
      <c r="T18" s="278"/>
      <c r="U18" s="278"/>
      <c r="V18" s="278"/>
      <c r="W18" s="278"/>
      <c r="X18" s="278"/>
      <c r="Y18" s="278"/>
      <c r="Z18" s="278"/>
    </row>
    <row r="19" spans="6:26" ht="24" customHeight="1" x14ac:dyDescent="0.15">
      <c r="F19" s="266" t="s">
        <v>217</v>
      </c>
      <c r="G19" s="267" t="s">
        <v>226</v>
      </c>
      <c r="H19" s="267" t="s">
        <v>236</v>
      </c>
      <c r="I19" s="267" t="s">
        <v>209</v>
      </c>
      <c r="J19" s="267" t="s">
        <v>210</v>
      </c>
      <c r="K19" s="267" t="s">
        <v>212</v>
      </c>
      <c r="L19" s="360" t="s">
        <v>235</v>
      </c>
      <c r="M19" s="361"/>
      <c r="N19" s="362"/>
      <c r="O19" s="268" t="s">
        <v>214</v>
      </c>
      <c r="Q19" s="277"/>
      <c r="R19" s="278"/>
      <c r="S19" s="278"/>
      <c r="T19" s="278"/>
      <c r="U19" s="278"/>
      <c r="V19" s="278"/>
      <c r="W19" s="278"/>
      <c r="X19" s="278"/>
      <c r="Y19" s="278"/>
      <c r="Z19" s="278"/>
    </row>
    <row r="20" spans="6:26" ht="37.5" customHeight="1" x14ac:dyDescent="0.15">
      <c r="F20" s="363" t="s">
        <v>145</v>
      </c>
      <c r="G20" s="269" t="s">
        <v>219</v>
      </c>
      <c r="H20" s="270" t="s">
        <v>231</v>
      </c>
      <c r="I20" s="269">
        <v>300</v>
      </c>
      <c r="J20" s="269">
        <v>500</v>
      </c>
      <c r="K20" s="269">
        <v>3.3</v>
      </c>
      <c r="L20" s="269">
        <v>10</v>
      </c>
      <c r="M20" s="269" t="s">
        <v>65</v>
      </c>
      <c r="N20" s="269">
        <v>14</v>
      </c>
      <c r="O20" s="271" t="s">
        <v>220</v>
      </c>
    </row>
    <row r="21" spans="6:26" ht="14.25" x14ac:dyDescent="0.15">
      <c r="F21" s="364"/>
      <c r="G21" s="269"/>
      <c r="H21" s="270"/>
      <c r="I21" s="269"/>
      <c r="J21" s="269"/>
      <c r="K21" s="269"/>
      <c r="L21" s="269"/>
      <c r="M21" s="269"/>
      <c r="N21" s="269"/>
      <c r="O21" s="271"/>
    </row>
    <row r="22" spans="6:26" ht="21.75" customHeight="1" x14ac:dyDescent="0.15">
      <c r="F22" s="364"/>
      <c r="G22" s="269" t="s">
        <v>221</v>
      </c>
      <c r="H22" s="270" t="s">
        <v>232</v>
      </c>
      <c r="I22" s="269">
        <v>300</v>
      </c>
      <c r="J22" s="269">
        <v>600</v>
      </c>
      <c r="K22" s="269">
        <v>3.3</v>
      </c>
      <c r="L22" s="269">
        <v>12</v>
      </c>
      <c r="M22" s="269" t="s">
        <v>65</v>
      </c>
      <c r="N22" s="269">
        <v>14</v>
      </c>
      <c r="O22" s="271" t="s">
        <v>220</v>
      </c>
    </row>
    <row r="23" spans="6:26" ht="16.5" customHeight="1" x14ac:dyDescent="0.15">
      <c r="F23" s="364"/>
      <c r="G23" s="269"/>
      <c r="H23" s="270"/>
      <c r="I23" s="269"/>
      <c r="J23" s="269"/>
      <c r="K23" s="269"/>
      <c r="L23" s="269"/>
      <c r="M23" s="269"/>
      <c r="N23" s="269"/>
      <c r="O23" s="271"/>
    </row>
    <row r="24" spans="6:26" ht="30" customHeight="1" x14ac:dyDescent="0.15">
      <c r="F24" s="364"/>
      <c r="G24" s="269" t="s">
        <v>223</v>
      </c>
      <c r="H24" s="269" t="s">
        <v>233</v>
      </c>
      <c r="I24" s="269">
        <v>200</v>
      </c>
      <c r="J24" s="269">
        <v>500</v>
      </c>
      <c r="K24" s="269">
        <v>3.3</v>
      </c>
      <c r="L24" s="269">
        <v>8</v>
      </c>
      <c r="M24" s="269" t="s">
        <v>65</v>
      </c>
      <c r="N24" s="269">
        <v>14</v>
      </c>
      <c r="O24" s="271" t="s">
        <v>222</v>
      </c>
    </row>
    <row r="25" spans="6:26" ht="15" thickBot="1" x14ac:dyDescent="0.2">
      <c r="F25" s="365"/>
      <c r="G25" s="272"/>
      <c r="H25" s="272"/>
      <c r="I25" s="272"/>
      <c r="J25" s="272"/>
      <c r="K25" s="272"/>
      <c r="L25" s="272"/>
      <c r="M25" s="272"/>
      <c r="N25" s="272"/>
      <c r="O25" s="273"/>
    </row>
    <row r="26" spans="6:26" ht="15" thickBot="1" x14ac:dyDescent="0.2">
      <c r="F26" s="274"/>
      <c r="G26" s="275"/>
      <c r="H26" s="275"/>
      <c r="I26" s="275"/>
      <c r="J26" s="275"/>
      <c r="K26" s="275"/>
      <c r="L26" s="275"/>
      <c r="M26" s="275"/>
      <c r="N26" s="275"/>
      <c r="O26" s="276"/>
    </row>
    <row r="27" spans="6:26" ht="26.25" customHeight="1" x14ac:dyDescent="0.15">
      <c r="F27" s="266" t="s">
        <v>217</v>
      </c>
      <c r="G27" s="267" t="s">
        <v>226</v>
      </c>
      <c r="H27" s="267" t="s">
        <v>236</v>
      </c>
      <c r="I27" s="267" t="s">
        <v>209</v>
      </c>
      <c r="J27" s="267" t="s">
        <v>210</v>
      </c>
      <c r="K27" s="267" t="s">
        <v>212</v>
      </c>
      <c r="L27" s="360" t="s">
        <v>235</v>
      </c>
      <c r="M27" s="361"/>
      <c r="N27" s="362"/>
      <c r="O27" s="268" t="s">
        <v>214</v>
      </c>
    </row>
    <row r="28" spans="6:26" ht="63.75" customHeight="1" x14ac:dyDescent="0.15">
      <c r="F28" s="363" t="s">
        <v>147</v>
      </c>
      <c r="G28" s="269" t="s">
        <v>219</v>
      </c>
      <c r="H28" s="270" t="s">
        <v>231</v>
      </c>
      <c r="I28" s="269">
        <v>300</v>
      </c>
      <c r="J28" s="269">
        <v>500</v>
      </c>
      <c r="K28" s="269">
        <v>3.3</v>
      </c>
      <c r="L28" s="269">
        <v>10</v>
      </c>
      <c r="M28" s="269" t="s">
        <v>65</v>
      </c>
      <c r="N28" s="269">
        <v>14</v>
      </c>
      <c r="O28" s="271" t="s">
        <v>220</v>
      </c>
    </row>
    <row r="29" spans="6:26" ht="15" thickBot="1" x14ac:dyDescent="0.2">
      <c r="F29" s="365"/>
      <c r="G29" s="272"/>
      <c r="H29" s="272"/>
      <c r="I29" s="272"/>
      <c r="J29" s="272"/>
      <c r="K29" s="272"/>
      <c r="L29" s="272"/>
      <c r="M29" s="272"/>
      <c r="N29" s="272"/>
      <c r="O29" s="273"/>
    </row>
  </sheetData>
  <mergeCells count="10">
    <mergeCell ref="F4:F9"/>
    <mergeCell ref="F12:F17"/>
    <mergeCell ref="F20:F25"/>
    <mergeCell ref="F28:F29"/>
    <mergeCell ref="Q12:Q17"/>
    <mergeCell ref="W9:Y9"/>
    <mergeCell ref="L19:N19"/>
    <mergeCell ref="L11:N11"/>
    <mergeCell ref="L27:N27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2</vt:i4>
      </vt:variant>
    </vt:vector>
  </HeadingPairs>
  <TitlesOfParts>
    <vt:vector size="7" baseType="lpstr">
      <vt:lpstr>GROUND&amp;1st</vt:lpstr>
      <vt:lpstr>ورقة2</vt:lpstr>
      <vt:lpstr>ورقة1</vt:lpstr>
      <vt:lpstr>ورقة3</vt:lpstr>
      <vt:lpstr>ورقة4</vt:lpstr>
      <vt:lpstr>fc</vt:lpstr>
      <vt:lpstr>fy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test</cp:lastModifiedBy>
  <dcterms:created xsi:type="dcterms:W3CDTF">2008-05-05T17:21:03Z</dcterms:created>
  <dcterms:modified xsi:type="dcterms:W3CDTF">2018-06-30T03:31:29Z</dcterms:modified>
</cp:coreProperties>
</file>